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laviatrip/Desktop/"/>
    </mc:Choice>
  </mc:AlternateContent>
  <xr:revisionPtr revIDLastSave="0" documentId="13_ncr:1_{CCA2E5D6-7EE9-5A40-BFD9-4BC62DB17674}" xr6:coauthVersionLast="47" xr6:coauthVersionMax="47" xr10:uidLastSave="{00000000-0000-0000-0000-000000000000}"/>
  <bookViews>
    <workbookView xWindow="0" yWindow="760" windowWidth="30240" windowHeight="17520" tabRatio="500" xr2:uid="{00000000-000D-0000-FFFF-FFFF00000000}"/>
  </bookViews>
  <sheets>
    <sheet name="Bleaching database" sheetId="2" r:id="rId1"/>
    <sheet name="Taxa references" sheetId="4" r:id="rId2"/>
  </sheets>
  <definedNames>
    <definedName name="_xlnm._FilterDatabase" localSheetId="0" hidden="1">'Bleaching database'!$A$1:$AX$101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J105" i="2" l="1"/>
  <c r="V105" i="2"/>
  <c r="S105" i="2"/>
  <c r="H105" i="2"/>
  <c r="AQ104" i="2"/>
  <c r="AP104" i="2"/>
  <c r="AO104" i="2"/>
  <c r="AN104" i="2"/>
  <c r="AM104" i="2"/>
  <c r="AL104" i="2"/>
  <c r="AK104" i="2"/>
  <c r="AJ104" i="2"/>
  <c r="AI104" i="2"/>
  <c r="AH104" i="2"/>
  <c r="AH105" i="2" s="1"/>
  <c r="AG104" i="2"/>
  <c r="AF104" i="2"/>
  <c r="AE104" i="2"/>
  <c r="AD104" i="2"/>
  <c r="AC104" i="2"/>
  <c r="AB104" i="2"/>
  <c r="AA104" i="2"/>
  <c r="Z104" i="2"/>
  <c r="Y104" i="2"/>
  <c r="X104" i="2"/>
  <c r="W104" i="2"/>
  <c r="V104" i="2"/>
  <c r="U104" i="2"/>
  <c r="T104" i="2"/>
  <c r="T105" i="2" s="1"/>
  <c r="S104" i="2"/>
  <c r="R104" i="2"/>
  <c r="Q104" i="2"/>
  <c r="P104" i="2"/>
  <c r="O104" i="2"/>
  <c r="N104" i="2"/>
  <c r="M104" i="2"/>
  <c r="L104" i="2"/>
  <c r="K104" i="2"/>
  <c r="J104" i="2"/>
  <c r="I104" i="2"/>
  <c r="H104" i="2"/>
  <c r="G104" i="2"/>
  <c r="AQ103" i="2"/>
  <c r="AQ105" i="2" s="1"/>
  <c r="AP103" i="2"/>
  <c r="AP105" i="2" s="1"/>
  <c r="AO103" i="2"/>
  <c r="AO105" i="2" s="1"/>
  <c r="AN103" i="2"/>
  <c r="AN105" i="2" s="1"/>
  <c r="AM103" i="2"/>
  <c r="AM105" i="2" s="1"/>
  <c r="AL103" i="2"/>
  <c r="AL105" i="2" s="1"/>
  <c r="AK103" i="2"/>
  <c r="AK105" i="2" s="1"/>
  <c r="AJ103" i="2"/>
  <c r="AI103" i="2"/>
  <c r="AI105" i="2" s="1"/>
  <c r="AH103" i="2"/>
  <c r="AG103" i="2"/>
  <c r="AG105" i="2" s="1"/>
  <c r="AF103" i="2"/>
  <c r="AF105" i="2" s="1"/>
  <c r="AE103" i="2"/>
  <c r="AE105" i="2" s="1"/>
  <c r="AD103" i="2"/>
  <c r="AD105" i="2" s="1"/>
  <c r="AC103" i="2"/>
  <c r="AC105" i="2" s="1"/>
  <c r="AB103" i="2"/>
  <c r="AB105" i="2" s="1"/>
  <c r="AA103" i="2"/>
  <c r="AA105" i="2" s="1"/>
  <c r="Z103" i="2"/>
  <c r="Z105" i="2" s="1"/>
  <c r="Y103" i="2"/>
  <c r="Y105" i="2" s="1"/>
  <c r="X103" i="2"/>
  <c r="X105" i="2" s="1"/>
  <c r="W103" i="2"/>
  <c r="W105" i="2" s="1"/>
  <c r="V103" i="2"/>
  <c r="U103" i="2"/>
  <c r="U105" i="2" s="1"/>
  <c r="T103" i="2"/>
  <c r="S103" i="2"/>
  <c r="R103" i="2"/>
  <c r="R105" i="2" s="1"/>
  <c r="Q103" i="2"/>
  <c r="Q105" i="2" s="1"/>
  <c r="P103" i="2"/>
  <c r="P105" i="2" s="1"/>
  <c r="O103" i="2"/>
  <c r="O105" i="2" s="1"/>
  <c r="N103" i="2"/>
  <c r="N105" i="2" s="1"/>
  <c r="M103" i="2"/>
  <c r="M105" i="2" s="1"/>
  <c r="L103" i="2"/>
  <c r="L105" i="2" s="1"/>
  <c r="K103" i="2"/>
  <c r="K105" i="2" s="1"/>
  <c r="J103" i="2"/>
  <c r="J105" i="2" s="1"/>
  <c r="I103" i="2"/>
  <c r="I105" i="2" s="1"/>
  <c r="H103" i="2"/>
  <c r="G103" i="2"/>
  <c r="G105" i="2" s="1"/>
  <c r="AS101" i="2"/>
  <c r="AR101" i="2"/>
  <c r="AT101" i="2" s="1"/>
  <c r="AS100" i="2"/>
  <c r="AR100" i="2"/>
  <c r="AT100" i="2" s="1"/>
  <c r="AS99" i="2"/>
  <c r="AT99" i="2" s="1"/>
  <c r="AR99" i="2"/>
  <c r="AS98" i="2"/>
  <c r="AT98" i="2" s="1"/>
  <c r="AR98" i="2"/>
  <c r="AS97" i="2"/>
  <c r="AR97" i="2"/>
  <c r="AT97" i="2" s="1"/>
  <c r="AS96" i="2"/>
  <c r="AT96" i="2" s="1"/>
  <c r="AR96" i="2"/>
  <c r="AS95" i="2"/>
  <c r="AR95" i="2"/>
  <c r="AT95" i="2" s="1"/>
  <c r="AS94" i="2"/>
  <c r="AR94" i="2"/>
  <c r="AT94" i="2" s="1"/>
  <c r="AT93" i="2"/>
  <c r="AS93" i="2"/>
  <c r="AR93" i="2"/>
  <c r="AS92" i="2"/>
  <c r="AR92" i="2"/>
  <c r="AT92" i="2" s="1"/>
  <c r="AT91" i="2"/>
  <c r="AS91" i="2"/>
  <c r="AR91" i="2"/>
  <c r="AS90" i="2"/>
  <c r="AR90" i="2"/>
  <c r="AT90" i="2" s="1"/>
  <c r="AS89" i="2"/>
  <c r="AR89" i="2"/>
  <c r="AT89" i="2" s="1"/>
  <c r="AT88" i="2"/>
  <c r="AS88" i="2"/>
  <c r="AR88" i="2"/>
  <c r="AS87" i="2"/>
  <c r="AR87" i="2"/>
  <c r="AT87" i="2" s="1"/>
  <c r="AS86" i="2"/>
  <c r="AR86" i="2"/>
  <c r="AT86" i="2" s="1"/>
  <c r="AS85" i="2"/>
  <c r="AT85" i="2" s="1"/>
  <c r="AR85" i="2"/>
  <c r="AS84" i="2"/>
  <c r="AT84" i="2" s="1"/>
  <c r="AR84" i="2"/>
  <c r="AS83" i="2"/>
  <c r="AR83" i="2"/>
  <c r="AT83" i="2" s="1"/>
  <c r="AS82" i="2"/>
  <c r="AT82" i="2" s="1"/>
  <c r="AR82" i="2"/>
  <c r="AS81" i="2"/>
  <c r="AR81" i="2"/>
  <c r="AT81" i="2" s="1"/>
  <c r="AS80" i="2"/>
  <c r="AR80" i="2"/>
  <c r="AT80" i="2" s="1"/>
  <c r="AT79" i="2"/>
  <c r="AS79" i="2"/>
  <c r="AR79" i="2"/>
  <c r="AS78" i="2"/>
  <c r="AR78" i="2"/>
  <c r="AT78" i="2" s="1"/>
  <c r="AT77" i="2"/>
  <c r="AS77" i="2"/>
  <c r="AR77" i="2"/>
  <c r="AS76" i="2"/>
  <c r="AR76" i="2"/>
  <c r="AT76" i="2" s="1"/>
  <c r="AS75" i="2"/>
  <c r="AR75" i="2"/>
  <c r="AT75" i="2" s="1"/>
  <c r="AT74" i="2"/>
  <c r="AS74" i="2"/>
  <c r="AR74" i="2"/>
  <c r="AS73" i="2"/>
  <c r="AR73" i="2"/>
  <c r="AT73" i="2" s="1"/>
  <c r="AS72" i="2"/>
  <c r="AR72" i="2"/>
  <c r="AT72" i="2" s="1"/>
  <c r="AS71" i="2"/>
  <c r="AT71" i="2" s="1"/>
  <c r="AR71" i="2"/>
  <c r="AS70" i="2"/>
  <c r="AT70" i="2" s="1"/>
  <c r="AR70" i="2"/>
  <c r="AS69" i="2"/>
  <c r="AR69" i="2"/>
  <c r="AT69" i="2" s="1"/>
  <c r="AS68" i="2"/>
  <c r="AT68" i="2" s="1"/>
  <c r="AR68" i="2"/>
  <c r="AS67" i="2"/>
  <c r="AR67" i="2"/>
  <c r="AT67" i="2" s="1"/>
  <c r="AS66" i="2"/>
  <c r="AR66" i="2"/>
  <c r="AT66" i="2" s="1"/>
  <c r="AT65" i="2"/>
  <c r="AS65" i="2"/>
  <c r="AR65" i="2"/>
  <c r="AS64" i="2"/>
  <c r="AR64" i="2"/>
  <c r="AT64" i="2" s="1"/>
  <c r="AT63" i="2"/>
  <c r="AS63" i="2"/>
  <c r="AR63" i="2"/>
  <c r="AS62" i="2"/>
  <c r="AR62" i="2"/>
  <c r="AT62" i="2" s="1"/>
  <c r="AS61" i="2"/>
  <c r="AR61" i="2"/>
  <c r="AT61" i="2" s="1"/>
  <c r="AT60" i="2"/>
  <c r="AS60" i="2"/>
  <c r="AR60" i="2"/>
  <c r="AS59" i="2"/>
  <c r="AR59" i="2"/>
  <c r="AT59" i="2" s="1"/>
  <c r="AS58" i="2"/>
  <c r="AR58" i="2"/>
  <c r="AT58" i="2" s="1"/>
  <c r="AS57" i="2"/>
  <c r="AT57" i="2" s="1"/>
  <c r="AR57" i="2"/>
  <c r="AS56" i="2"/>
  <c r="AT56" i="2" s="1"/>
  <c r="AR56" i="2"/>
  <c r="AS55" i="2"/>
  <c r="AR55" i="2"/>
  <c r="AT55" i="2" s="1"/>
  <c r="AS54" i="2"/>
  <c r="AT54" i="2" s="1"/>
  <c r="AR54" i="2"/>
  <c r="AS53" i="2"/>
  <c r="AR53" i="2"/>
  <c r="AT53" i="2" s="1"/>
  <c r="AS52" i="2"/>
  <c r="AR52" i="2"/>
  <c r="AT52" i="2" s="1"/>
  <c r="AT51" i="2"/>
  <c r="AS51" i="2"/>
  <c r="AR51" i="2"/>
  <c r="AS50" i="2"/>
  <c r="AR50" i="2"/>
  <c r="AT50" i="2" s="1"/>
  <c r="AT49" i="2"/>
  <c r="AS49" i="2"/>
  <c r="AR49" i="2"/>
  <c r="AS48" i="2"/>
  <c r="AR48" i="2"/>
  <c r="AT48" i="2" s="1"/>
  <c r="AS47" i="2"/>
  <c r="AR47" i="2"/>
  <c r="AT47" i="2" s="1"/>
  <c r="AT46" i="2"/>
  <c r="AS46" i="2"/>
  <c r="AR46" i="2"/>
  <c r="AS45" i="2"/>
  <c r="AR45" i="2"/>
  <c r="AT45" i="2" s="1"/>
  <c r="AS44" i="2"/>
  <c r="AR44" i="2"/>
  <c r="AT44" i="2" s="1"/>
  <c r="AS43" i="2"/>
  <c r="AT43" i="2" s="1"/>
  <c r="AR43" i="2"/>
  <c r="AS42" i="2"/>
  <c r="AT42" i="2" s="1"/>
  <c r="AR42" i="2"/>
  <c r="AS41" i="2"/>
  <c r="AR41" i="2"/>
  <c r="AT41" i="2" s="1"/>
  <c r="AS40" i="2"/>
  <c r="AT40" i="2" s="1"/>
  <c r="AR40" i="2"/>
  <c r="AS39" i="2"/>
  <c r="AR39" i="2"/>
  <c r="AT39" i="2" s="1"/>
  <c r="AS38" i="2"/>
  <c r="AR38" i="2"/>
  <c r="AT38" i="2" s="1"/>
  <c r="AT37" i="2"/>
  <c r="AS37" i="2"/>
  <c r="AR37" i="2"/>
  <c r="AS36" i="2"/>
  <c r="AR36" i="2"/>
  <c r="AT36" i="2" s="1"/>
  <c r="AT35" i="2"/>
  <c r="AS35" i="2"/>
  <c r="AR35" i="2"/>
  <c r="AS34" i="2"/>
  <c r="AR34" i="2"/>
  <c r="AT34" i="2" s="1"/>
  <c r="AS33" i="2"/>
  <c r="AR33" i="2"/>
  <c r="AT33" i="2" s="1"/>
  <c r="AT32" i="2"/>
  <c r="AS32" i="2"/>
  <c r="AR32" i="2"/>
  <c r="AS31" i="2"/>
  <c r="AR31" i="2"/>
  <c r="AT31" i="2" s="1"/>
  <c r="AS30" i="2"/>
  <c r="AR30" i="2"/>
  <c r="AT30" i="2" s="1"/>
  <c r="AS29" i="2"/>
  <c r="AR29" i="2"/>
  <c r="AT29" i="2" s="1"/>
  <c r="AS28" i="2"/>
  <c r="AT28" i="2" s="1"/>
  <c r="AR28" i="2"/>
  <c r="AS27" i="2"/>
  <c r="AR27" i="2"/>
  <c r="AT27" i="2" s="1"/>
  <c r="AS26" i="2"/>
  <c r="AT26" i="2" s="1"/>
  <c r="AR26" i="2"/>
  <c r="AS25" i="2"/>
  <c r="AR25" i="2"/>
  <c r="AT25" i="2" s="1"/>
  <c r="AS24" i="2"/>
  <c r="AR24" i="2"/>
  <c r="AT24" i="2" s="1"/>
  <c r="AT23" i="2"/>
  <c r="AS23" i="2"/>
  <c r="AR23" i="2"/>
  <c r="AS22" i="2"/>
  <c r="AR22" i="2"/>
  <c r="AT22" i="2" s="1"/>
  <c r="AT21" i="2"/>
  <c r="AS21" i="2"/>
  <c r="AR21" i="2"/>
  <c r="AS20" i="2"/>
  <c r="AR20" i="2"/>
  <c r="AT20" i="2" s="1"/>
  <c r="AS19" i="2"/>
  <c r="AR19" i="2"/>
  <c r="AT19" i="2" s="1"/>
  <c r="AT18" i="2"/>
  <c r="AS18" i="2"/>
  <c r="AR18" i="2"/>
  <c r="AS17" i="2"/>
  <c r="AR17" i="2"/>
  <c r="AT17" i="2" s="1"/>
  <c r="AS16" i="2"/>
  <c r="AR16" i="2"/>
  <c r="AT16" i="2" s="1"/>
  <c r="AS15" i="2"/>
  <c r="AR15" i="2"/>
  <c r="AT15" i="2" s="1"/>
  <c r="AS14" i="2"/>
  <c r="AT14" i="2" s="1"/>
  <c r="AR14" i="2"/>
  <c r="AS13" i="2"/>
  <c r="AR13" i="2"/>
  <c r="AT13" i="2" s="1"/>
  <c r="AS12" i="2"/>
  <c r="AT12" i="2" s="1"/>
  <c r="AR12" i="2"/>
  <c r="AS11" i="2"/>
  <c r="AR11" i="2"/>
  <c r="AT11" i="2" s="1"/>
  <c r="AS10" i="2"/>
  <c r="AR10" i="2"/>
  <c r="AT10" i="2" s="1"/>
  <c r="AT9" i="2"/>
  <c r="AS9" i="2"/>
  <c r="AR9" i="2"/>
  <c r="AS8" i="2"/>
  <c r="AR8" i="2"/>
  <c r="AT8" i="2" s="1"/>
  <c r="AT7" i="2"/>
  <c r="AS7" i="2"/>
  <c r="AR7" i="2"/>
  <c r="AS6" i="2"/>
  <c r="AR6" i="2"/>
  <c r="AT6" i="2" s="1"/>
  <c r="AS5" i="2"/>
  <c r="AR5" i="2"/>
  <c r="AT5" i="2" s="1"/>
  <c r="AT4" i="2"/>
  <c r="AS4" i="2"/>
  <c r="AR4" i="2"/>
  <c r="AS3" i="2"/>
  <c r="AR3" i="2"/>
  <c r="AT3" i="2" s="1"/>
  <c r="AS2" i="2"/>
  <c r="AS104" i="2" s="1"/>
  <c r="AR2" i="2"/>
  <c r="AT2" i="2" s="1"/>
  <c r="AT105" i="2" l="1"/>
  <c r="AR103" i="2"/>
</calcChain>
</file>

<file path=xl/sharedStrings.xml><?xml version="1.0" encoding="utf-8"?>
<sst xmlns="http://schemas.openxmlformats.org/spreadsheetml/2006/main" count="1550" uniqueCount="520">
  <si>
    <t>#</t>
  </si>
  <si>
    <t>Region</t>
  </si>
  <si>
    <t>Location</t>
  </si>
  <si>
    <t>Lat</t>
  </si>
  <si>
    <t>Long</t>
  </si>
  <si>
    <t>Size (km²)</t>
  </si>
  <si>
    <t>Severe (S)</t>
  </si>
  <si>
    <t>Minor-moderate (M)</t>
  </si>
  <si>
    <t>Total events</t>
  </si>
  <si>
    <t>References (and Pers. Comm.)</t>
  </si>
  <si>
    <t>Coral taxa named in cited reference titles (ref #)</t>
  </si>
  <si>
    <t>Taxon-level information in cited references</t>
  </si>
  <si>
    <t>Evidence level</t>
  </si>
  <si>
    <t>Australasia</t>
  </si>
  <si>
    <t>Australia, Coral Sea Northern</t>
  </si>
  <si>
    <t>16.5ºS</t>
  </si>
  <si>
    <t>149.8ºE</t>
  </si>
  <si>
    <t>S</t>
  </si>
  <si>
    <t>M</t>
  </si>
  <si>
    <t>334, 236, 237, 216, 19, 58, 280, 156, (JR), TB, HH</t>
  </si>
  <si>
    <t>-</t>
  </si>
  <si>
    <t>None found</t>
  </si>
  <si>
    <t>Australia, Coral Sea Southern</t>
  </si>
  <si>
    <t>20.0ºS</t>
  </si>
  <si>
    <t>153.0ºE</t>
  </si>
  <si>
    <t>236, 58, 248, 156, TB, HH, MP, AH, AB</t>
  </si>
  <si>
    <t>Australia, GBR Central</t>
  </si>
  <si>
    <t>19.5ºS</t>
  </si>
  <si>
    <t>148.5ºE</t>
  </si>
  <si>
    <t>63, 232, 173, 151, 36, 205, 35, 216, 156, AB, MP, MH, GT</t>
  </si>
  <si>
    <t>Ref 205: Marshall &amp; Baird 2000: 4,160 colonies, 45 genera, 15 families at four inshore GBR island sites, 1998. Acroporids and pocilloporids highly susceptible; Cyphastrea, Turbinaria and Galaxea relatively unaffected; hydrocorals (Millepora) most susceptible, 85% mortality. Inshore sites only, so may not represent the whole location.</t>
  </si>
  <si>
    <t>Abstract read</t>
  </si>
  <si>
    <t>Australia, GBR Northern</t>
  </si>
  <si>
    <t>11.5ºS</t>
  </si>
  <si>
    <t>145.3ºE</t>
  </si>
  <si>
    <t>63, 141, 35, 216, 156, AH, MP, AB, TH, GT</t>
  </si>
  <si>
    <t>Ref 141: Mortality rates of scleractinian (hard) corals before and during a mass bleaching event (Harriott 1985); genera not named in title.</t>
  </si>
  <si>
    <t>Title only</t>
  </si>
  <si>
    <t>Australia, GBR Southern</t>
  </si>
  <si>
    <t>23.5ºS</t>
  </si>
  <si>
    <t>150.1ºE</t>
  </si>
  <si>
    <t>369, 63, 35, 216, 156, MH, TH, JK, KA, TB, MP</t>
  </si>
  <si>
    <t>Australia, Kimberly Coast</t>
  </si>
  <si>
    <t>21.5ºS</t>
  </si>
  <si>
    <t>115.4ºE</t>
  </si>
  <si>
    <t>221, 281, 238, 156, (DW), (AL), (DB), (DW), (JF), (CP), (JB), (AH), (AM), (DO), VS</t>
  </si>
  <si>
    <t>Australia, Lord Howe Island</t>
  </si>
  <si>
    <t>31.5ºS</t>
  </si>
  <si>
    <t>159ºE</t>
  </si>
  <si>
    <t>142, 84, 85, 156, AB, AH, MP, TH</t>
  </si>
  <si>
    <t>Australia, Morton Bay</t>
  </si>
  <si>
    <t>27.4ºS</t>
  </si>
  <si>
    <t>153.5ºE</t>
  </si>
  <si>
    <t>156, (IB), (MB), JP</t>
  </si>
  <si>
    <t>Australia, Ningaloo Reef</t>
  </si>
  <si>
    <t>22.5ºS</t>
  </si>
  <si>
    <t>113.7ºE</t>
  </si>
  <si>
    <t>58, 221, 87, 156, (DT), (GS), (PB), (TE), (RB), SW, RL</t>
  </si>
  <si>
    <t>Australia, Pilbara (Dampier, Montebello, Onslow)</t>
  </si>
  <si>
    <t>119.9ºE</t>
  </si>
  <si>
    <t>221, 189, 260, 156, (DT), (MM), (RM), (RE), (RB), SW</t>
  </si>
  <si>
    <t>Australia, Solitary Island</t>
  </si>
  <si>
    <t>30.0ºS</t>
  </si>
  <si>
    <t>153.3ºE</t>
  </si>
  <si>
    <t>339, 97, 58, 84, 76, 156, (MB), (WF), (SD), (HM), AB, JP</t>
  </si>
  <si>
    <t>Australia, South West Rocks</t>
  </si>
  <si>
    <t>30.5ºS</t>
  </si>
  <si>
    <t>153.1ºE</t>
  </si>
  <si>
    <t>156, (WF), (SD), (HM), (MB)</t>
  </si>
  <si>
    <t>Australia, Southwest (Shark Bay, Abrohlos, Rottnest)</t>
  </si>
  <si>
    <t>29.0ºS</t>
  </si>
  <si>
    <t>114.0ºE</t>
  </si>
  <si>
    <t>313, 221, 1, 291, 156, (TF), SW, RL</t>
  </si>
  <si>
    <t>Australia, Torres Strait</t>
  </si>
  <si>
    <t>9.0ºS</t>
  </si>
  <si>
    <t>142.0ºE</t>
  </si>
  <si>
    <t>28, 317, 156, (TS), AB, TH, JK</t>
  </si>
  <si>
    <t>Indonesia, Aceh</t>
  </si>
  <si>
    <t>4.8ºN</t>
  </si>
  <si>
    <t>98.9ºE</t>
  </si>
  <si>
    <t>322, 133, 158, 157, AB</t>
  </si>
  <si>
    <t>Indonesia, Bali/Lombok</t>
  </si>
  <si>
    <t>8.5ºS</t>
  </si>
  <si>
    <t>305, 154, 61, 322, 158, 313, 157, 174, 164, AB</t>
  </si>
  <si>
    <t>Indonesia, Central Sulawesi</t>
  </si>
  <si>
    <t>0.5ºS</t>
  </si>
  <si>
    <t>122.3ºE</t>
  </si>
  <si>
    <t>154, 61, 322, 157</t>
  </si>
  <si>
    <t>Indonesia, Java</t>
  </si>
  <si>
    <t>6.4ºS</t>
  </si>
  <si>
    <t>108.9ºE</t>
  </si>
  <si>
    <t>339, 44, 305, 61, 322, 158, 157</t>
  </si>
  <si>
    <t>Indonesia, Kalimantan</t>
  </si>
  <si>
    <t>2.9ºS</t>
  </si>
  <si>
    <t>110.6ºE</t>
  </si>
  <si>
    <t>313, 157, 246</t>
  </si>
  <si>
    <t>Indonesia, North Sulawesi/Manado</t>
  </si>
  <si>
    <t>1.5ºN</t>
  </si>
  <si>
    <t>124.8ºE</t>
  </si>
  <si>
    <t>154, 61, 322, 190, 157, TH, DB</t>
  </si>
  <si>
    <t>Indonesia, South Sulawesi</t>
  </si>
  <si>
    <t>5.6ºS</t>
  </si>
  <si>
    <t>120.0ºE</t>
  </si>
  <si>
    <t>339, 322, 157, 138, 145</t>
  </si>
  <si>
    <t>Indonesia, South-East Sulawesi/Wakatobi</t>
  </si>
  <si>
    <t>5.7ºS</t>
  </si>
  <si>
    <t>123.5ºE</t>
  </si>
  <si>
    <t>158, 157, 174</t>
  </si>
  <si>
    <t>Indonesia, West/South Sumatra</t>
  </si>
  <si>
    <t>1.8ºS</t>
  </si>
  <si>
    <t>100.8ºE</t>
  </si>
  <si>
    <t>61, 322, 158, 157, 174, 200, 225</t>
  </si>
  <si>
    <t>Japan, Kyushu</t>
  </si>
  <si>
    <t>32.5ºN</t>
  </si>
  <si>
    <t>130.5ºE</t>
  </si>
  <si>
    <t>179, 327, 180, 178, (JR)</t>
  </si>
  <si>
    <t>Japan, Ryukyu Islands</t>
  </si>
  <si>
    <t>26.5ºN</t>
  </si>
  <si>
    <t>128.0ºE</t>
  </si>
  <si>
    <t>175, 319, 339, 197, 278, 327, 178, 82, 153, 258, 346, 316, 156, AB</t>
  </si>
  <si>
    <t>Ref 197: Loya et al. 2001 ('the winners and the losers'), Sesoko Island, Okinawa. Species recorded from this paper in the Coral Trait Database: Acropora aspera, A. digitifera, A. gemmifera, Coelastrea (Goniastrea) aspera, Goniastrea retiformis, Montipora digitata, Pocillopora damicornis, P. verrucosa, Porites cylindrica, P. lutea, P. rus, P. sillimaniani. This lists taxa studied, not their susceptibility ranking.
Ref 153: Species-specific responses of corals to bleaching on Okinawa Island, 1995-2009 (Hongo &amp; Yamano 2013); species not named in title.</t>
  </si>
  <si>
    <t>Malacca Strait</t>
  </si>
  <si>
    <t>1.4ºN</t>
  </si>
  <si>
    <t>103.1ºE</t>
  </si>
  <si>
    <t>305, 60, 62, 133, 157, AB</t>
  </si>
  <si>
    <t>Papua New Guinea, Kimbe Bay</t>
  </si>
  <si>
    <t>5.0ºS</t>
  </si>
  <si>
    <t>151.0ºE</t>
  </si>
  <si>
    <t>339, 170, 41, 57, (MB), (GJ), TH, AB</t>
  </si>
  <si>
    <t>Philippines, Central/Southern</t>
  </si>
  <si>
    <t>9.4ºN</t>
  </si>
  <si>
    <t>59, 21, 8, 322, 99, 258, 312, 252</t>
  </si>
  <si>
    <t>Solomon Islands</t>
  </si>
  <si>
    <t>9.7ºS</t>
  </si>
  <si>
    <t>160.6ºE</t>
  </si>
  <si>
    <t>195, 9, 57, 94, 256, 258, TH, AB</t>
  </si>
  <si>
    <t>Taiwan, Southern</t>
  </si>
  <si>
    <t>23.7ºN</t>
  </si>
  <si>
    <t>121.0ºE</t>
  </si>
  <si>
    <t>339, 297, 179, 180, 83, 188, 310, 64, 56</t>
  </si>
  <si>
    <t>Thailand, Gulf of Thailand</t>
  </si>
  <si>
    <t>10.0ºN</t>
  </si>
  <si>
    <t>99.8ºE</t>
  </si>
  <si>
    <t>43, 340, 322, 313, 241, 347, 307, 219, 311</t>
  </si>
  <si>
    <t>Vietnam, Con Dao Archipelago</t>
  </si>
  <si>
    <t>14.3ºN</t>
  </si>
  <si>
    <t>109.3ºE</t>
  </si>
  <si>
    <t>320, 129, 61, 124, 296, 321, 86</t>
  </si>
  <si>
    <t>Indian Ocean / Middle East</t>
  </si>
  <si>
    <t>Indian Ocean/ Middle Australia, Ashmore Reef</t>
  </si>
  <si>
    <t>East12.3ºS</t>
  </si>
  <si>
    <t>123.0ºE</t>
  </si>
  <si>
    <t>216, 149, 54, 156, JG</t>
  </si>
  <si>
    <t>Australia, Christmas Island</t>
  </si>
  <si>
    <t>10.5ºS</t>
  </si>
  <si>
    <t>105.6ºE</t>
  </si>
  <si>
    <t>37, 130, 301, 156, J-PH</t>
  </si>
  <si>
    <t>Australia, Cocos Island</t>
  </si>
  <si>
    <t>12.2ºS</t>
  </si>
  <si>
    <t>96.8ºE</t>
  </si>
  <si>
    <t>216, 25, 156, (SE), (DM), J- PH</t>
  </si>
  <si>
    <t>Australia, Rowley Shoals</t>
  </si>
  <si>
    <t>17.4ºS</t>
  </si>
  <si>
    <t>119.2ºE</t>
  </si>
  <si>
    <t>308, 156, (LS), (AH), JG</t>
  </si>
  <si>
    <t>Australia, Scott Reef &amp; Seringapatam Reef</t>
  </si>
  <si>
    <t>14.0ºS</t>
  </si>
  <si>
    <t>121.5ºE</t>
  </si>
  <si>
    <t>340, 292, 111, 156, JG</t>
  </si>
  <si>
    <t>Chagos Archipelago (UK)</t>
  </si>
  <si>
    <t>6.0ºS</t>
  </si>
  <si>
    <t>72.ºE</t>
  </si>
  <si>
    <t>288, 286, 255, 309, 17, 94</t>
  </si>
  <si>
    <t>Comoros</t>
  </si>
  <si>
    <t>43.3ºE</t>
  </si>
  <si>
    <t>7, 251, 73, 245, 74</t>
  </si>
  <si>
    <t>Egypt, Red Sea, Hurghada</t>
  </si>
  <si>
    <t>27.3ºN</t>
  </si>
  <si>
    <t>33.8ºE</t>
  </si>
  <si>
    <t>182, 218, 183, (MK), MB</t>
  </si>
  <si>
    <t>India, Lakshadweep</t>
  </si>
  <si>
    <t>8.3ºN</t>
  </si>
  <si>
    <t>73.1ºE</t>
  </si>
  <si>
    <t>340, 23, 24, 255, 309, 231, 333, 187, 16, 219, 222</t>
  </si>
  <si>
    <t>Kenya</t>
  </si>
  <si>
    <t>3.5ºS</t>
  </si>
  <si>
    <t>40.0ºE</t>
  </si>
  <si>
    <t>339, 230, 124, 208, 223, 73, 207, 74</t>
  </si>
  <si>
    <t>Ref 208: McClanahan et al. 2007, western Indian Ocean communities: southern Kenya to Mauritius (incl. Reunion) dominated by Acropora and Montipora, with branching Porites, Fungia, Galaxea, massive Porites, Pocillopora and Synarea as subdominants. Central/northern Indian Ocean sites dominated by massive Porites, Pavona and Pocillopora, which replaced Acropora and Montipora after 1998.
Ref 207: Biogeography and change among regional coral communities across the western Indian Ocean (McClanahan et al. 2014); taxa not named in title.</t>
  </si>
  <si>
    <t>La Reunion (France)</t>
  </si>
  <si>
    <t>21.1ºS</t>
  </si>
  <si>
    <t>55.5ºE</t>
  </si>
  <si>
    <t>339, 340, 67, 324, 68, 7, 208, 284, 346, (PC), (LB)</t>
  </si>
  <si>
    <t>Ref 208: McClanahan et al. 2007, western Indian Ocean communities: southern Kenya to Mauritius (incl. Reunion) dominated by Acropora and Montipora, with branching Porites, Fungia, Galaxea, massive Porites, Pocillopora and Synarea as subdominants. Central/northern Indian Ocean sites dominated by massive Porites, Pavona and Pocillopora, which replaced Acropora and Montipora after 1998.
Ref 284: Changes of coral communities over 35 years at Saint-Leu Reef (Scopelitis et al. 2009); taxa not named in title.</t>
  </si>
  <si>
    <t>Madagascar, Southwest</t>
  </si>
  <si>
    <t>20.5ºS</t>
  </si>
  <si>
    <t>46.5ºE</t>
  </si>
  <si>
    <t>340, 124, 231, 73, 74</t>
  </si>
  <si>
    <t>Maldives</t>
  </si>
  <si>
    <t>1.9ºN</t>
  </si>
  <si>
    <t>73.5ºE</t>
  </si>
  <si>
    <t>90, 340, 129, 255, 124, 283, 317, 42, 228, 335, 94, 346, (CP), MP</t>
  </si>
  <si>
    <t>Mauritius (France)</t>
  </si>
  <si>
    <t>20.3ºS</t>
  </si>
  <si>
    <t>57.6ºE</t>
  </si>
  <si>
    <t>340, 322, 7, 209, 206, 38, 94</t>
  </si>
  <si>
    <t>Ref 209: Effects of geography, taxa, water flow and temperature on bleaching intensity in Mauritius (McClanahan et al. 2005); taxa not named in title.
Ref 206: Thermal stress physiology and mortality of scleractinian (hard) corals in Mauritius; genera not named in title.</t>
  </si>
  <si>
    <t>Mayotte (France)</t>
  </si>
  <si>
    <t>12.5ºS</t>
  </si>
  <si>
    <t>45.5ºE</t>
  </si>
  <si>
    <t>339, 251, 6, 245, 207, 74, 75</t>
  </si>
  <si>
    <t>Ref 207: Biogeography and change among regional coral communities across the western Indian Ocean (McClanahan et al. 2014); taxa not named in title.</t>
  </si>
  <si>
    <t>Mozambique</t>
  </si>
  <si>
    <t>21.9ºS</t>
  </si>
  <si>
    <t>35.6ºE</t>
  </si>
  <si>
    <t>230, 231, 285, 73, 74</t>
  </si>
  <si>
    <t>Ref 285: Bleaching response of corals and their Symbiodinium communities in southern Africa (Sebastian et al. 2009). Symbiont as well as coral type.</t>
  </si>
  <si>
    <t>Saudi Arabia, Red Sea, Al Lith</t>
  </si>
  <si>
    <t>19.8ºN</t>
  </si>
  <si>
    <t>39.9ºE</t>
  </si>
  <si>
    <t>88, 182, 106, 198, MB</t>
  </si>
  <si>
    <t>Saudi Arabia, Red Sea, Thuwal</t>
  </si>
  <si>
    <t>22.3ºN</t>
  </si>
  <si>
    <t>39.1ºE</t>
  </si>
  <si>
    <t>88, 182, 106, 198, 94, MB</t>
  </si>
  <si>
    <t>Seychelles</t>
  </si>
  <si>
    <t>4.7ºS</t>
  </si>
  <si>
    <t>340, 298, 7, 192, 132, 131, 242, (CM-P), (UE), NG</t>
  </si>
  <si>
    <t>Seychelles, Aldabra</t>
  </si>
  <si>
    <t>9.5ºS</t>
  </si>
  <si>
    <t>46.3ºE</t>
  </si>
  <si>
    <t>7, 90, 287, 302, (KC-S), NG</t>
  </si>
  <si>
    <t>South Africa, St Lucia</t>
  </si>
  <si>
    <t>28.4ºS</t>
  </si>
  <si>
    <t>32.4ºE</t>
  </si>
  <si>
    <t>73, 55, 262, 101, 282, 285, 74</t>
  </si>
  <si>
    <t>Ref 101: Taxonomic patterns of bleaching in a South African coral assemblage (Floros et al. 2004); taxa not named in title.
Ref 285: Bleaching response of corals and their Symbiodinium communities in southern Africa (Sebastian et al. 2009). Symbiont as well as coral type.</t>
  </si>
  <si>
    <t>Sri Lanka</t>
  </si>
  <si>
    <t>7.3ºN</t>
  </si>
  <si>
    <t>80ºS</t>
  </si>
  <si>
    <t>163, 254, 255, 124, 72, 93, 92, (NP), (CM)</t>
  </si>
  <si>
    <t>Tanzania</t>
  </si>
  <si>
    <t>7.9ºS</t>
  </si>
  <si>
    <t>39.5ºE</t>
  </si>
  <si>
    <t>230, 124, 73, 207, 74</t>
  </si>
  <si>
    <t>United Arab Emirates, Arabian Gulf Pacific</t>
  </si>
  <si>
    <t>24.5ºN</t>
  </si>
  <si>
    <t>54.4ºE</t>
  </si>
  <si>
    <t>110, 261, 262, 259, 199, 263, 66, 289, (JB), MB</t>
  </si>
  <si>
    <t>Pacific</t>
  </si>
  <si>
    <t>American Samoa</t>
  </si>
  <si>
    <t>14.3ºS</t>
  </si>
  <si>
    <t>170.7ºW</t>
  </si>
  <si>
    <t>128, 129, 2, 80, 123, 39, 57, 346, (DB), TH</t>
  </si>
  <si>
    <t>Colombia (Pacific)</t>
  </si>
  <si>
    <t>5.1ºN</t>
  </si>
  <si>
    <t>77.4ºW</t>
  </si>
  <si>
    <t>117, 115, 339, 328, 243, (FZ)</t>
  </si>
  <si>
    <t>Commonwealth of the Northern Mariana Islands</t>
  </si>
  <si>
    <t>15.2ºN</t>
  </si>
  <si>
    <t>145.8ºE</t>
  </si>
  <si>
    <t>2, 123, 57, 194, 94, 70</t>
  </si>
  <si>
    <t>Cook Island</t>
  </si>
  <si>
    <t>21.3º</t>
  </si>
  <si>
    <t>159.8ºW</t>
  </si>
  <si>
    <t>128, 81, 152, 57, 273, 98</t>
  </si>
  <si>
    <t>Costa Rica (Pacific)</t>
  </si>
  <si>
    <t>8.7ºN</t>
  </si>
  <si>
    <t>83.9ºW</t>
  </si>
  <si>
    <t>135, 115, 134, 108, 161, 162, (JC)</t>
  </si>
  <si>
    <t>Ref 161: Effects of the 1991-92 El Nino on scleractinian (hard) corals, Costa Rica Pacific coast; genera not named in title.</t>
  </si>
  <si>
    <t>Ecuador (mainland)</t>
  </si>
  <si>
    <t>0.5ºN</t>
  </si>
  <si>
    <t>80.4ºW</t>
  </si>
  <si>
    <t>116, 243, (FR)</t>
  </si>
  <si>
    <t>Fiji, Southeast &amp; Southwest</t>
  </si>
  <si>
    <t>17.7ºS</t>
  </si>
  <si>
    <t>178.ºE</t>
  </si>
  <si>
    <t>306, 81, 152, 195, 196, 57, 346, 94</t>
  </si>
  <si>
    <t>French Polynesia, Society Islands</t>
  </si>
  <si>
    <t>149.4ºW</t>
  </si>
  <si>
    <t>63, 339, 275, 128, 113, 276, 129, 124, 331, 240, 4, 57, 249, 318, 94, TH, MP</t>
  </si>
  <si>
    <t>Galapagos</t>
  </si>
  <si>
    <t>90.8ºW</t>
  </si>
  <si>
    <t>115, 63, 116, 201, 203, 118, (FR)</t>
  </si>
  <si>
    <t>Guam</t>
  </si>
  <si>
    <t>13.4ºN</t>
  </si>
  <si>
    <t>144.5ºE</t>
  </si>
  <si>
    <t>239, 2, 247, 48, 57, 194, 94, 70, 144</t>
  </si>
  <si>
    <t>Hawaii (main islands)</t>
  </si>
  <si>
    <t>19.5ºN</t>
  </si>
  <si>
    <t>155.5ºW</t>
  </si>
  <si>
    <t>169, 104, 168, 103, 57, 304, 194, 346, 94, 26, 264</t>
  </si>
  <si>
    <t>Porites compressa (ref 304)</t>
  </si>
  <si>
    <t>Ref 304: Localized bleaching in Hawaii: tissue loss and fewer gametes in P. compressa (Sudek et al. 2012).</t>
  </si>
  <si>
    <t>Hawaii (North West Islands)</t>
  </si>
  <si>
    <t>25.5ºN</t>
  </si>
  <si>
    <t>171.4ºW</t>
  </si>
  <si>
    <t>5, 104, 105, 168, 177, 194, 94</t>
  </si>
  <si>
    <t>Johnston Atoll (USA)</t>
  </si>
  <si>
    <t>16.3ºN</t>
  </si>
  <si>
    <t>169.5ºE</t>
  </si>
  <si>
    <t>65, 168, (BV-A)</t>
  </si>
  <si>
    <t>Kiribati, Gilbert Islands</t>
  </si>
  <si>
    <t>1.5ºS</t>
  </si>
  <si>
    <t>176.5ºE</t>
  </si>
  <si>
    <t>89, 51, (SD)</t>
  </si>
  <si>
    <t>Kiribati, Kiritimati (Christmas Island)</t>
  </si>
  <si>
    <t>157.5ºE</t>
  </si>
  <si>
    <t>129, 276, 94, JB, DC</t>
  </si>
  <si>
    <t>New Caledonia, Southwest</t>
  </si>
  <si>
    <t>165.6ºE</t>
  </si>
  <si>
    <t>339, 337, 57, 120, 50, 346, 94</t>
  </si>
  <si>
    <t>Palau</t>
  </si>
  <si>
    <t>7.5ºN</t>
  </si>
  <si>
    <t>134.5ºE</t>
  </si>
  <si>
    <t>40, 46, 2, 122, 123, 121, 57, 326, (YG)</t>
  </si>
  <si>
    <t>Panama (Gulf of Chiriqui)</t>
  </si>
  <si>
    <t>8.1ºN</t>
  </si>
  <si>
    <t>82.0ºW</t>
  </si>
  <si>
    <t>115, 116, 337, 243, 213, 94, 211</t>
  </si>
  <si>
    <t>Panama (Gulf of Panama)</t>
  </si>
  <si>
    <t>8.5ºN</t>
  </si>
  <si>
    <t>79.1ºE</t>
  </si>
  <si>
    <t>115, 116, 243, 211</t>
  </si>
  <si>
    <t>Republic of the Marshall Islands</t>
  </si>
  <si>
    <t>11.5ºN</t>
  </si>
  <si>
    <t>166.8ºE</t>
  </si>
  <si>
    <t>239, 2, 32, 57, 215, 94, 147</t>
  </si>
  <si>
    <t>Samoa (Western)</t>
  </si>
  <si>
    <t>13.6ºS</t>
  </si>
  <si>
    <t>172.4ºW</t>
  </si>
  <si>
    <t>339, 2, 94</t>
  </si>
  <si>
    <t>Vanuatu West Atlantic</t>
  </si>
  <si>
    <t>15.2ºS</t>
  </si>
  <si>
    <t>167.2ºE</t>
  </si>
  <si>
    <t>256, 57, 257, 127</t>
  </si>
  <si>
    <t>West Atlantic</t>
  </si>
  <si>
    <t>Bahamas</t>
  </si>
  <si>
    <t>77.8ºW</t>
  </si>
  <si>
    <t>339, 191, 20, 333, 212, 202, 341, 95, 45, 159, 229</t>
  </si>
  <si>
    <t>Montastraea annularis complex (ref 45)</t>
  </si>
  <si>
    <t>Ref 20: Scleractinian (hard) coral mortality and colour change, central Bahamas 1991-1995 (Anthony 1997); genera not named in title.
Ref 45: Regional decline of the M. annularis complex (Bruckner 2012).</t>
  </si>
  <si>
    <t>Barbados</t>
  </si>
  <si>
    <t>13.2ºN</t>
  </si>
  <si>
    <t>59.5ºW</t>
  </si>
  <si>
    <t>233, 234, 95, 159, 226, 235, (NH)</t>
  </si>
  <si>
    <t>Belize</t>
  </si>
  <si>
    <t>17.5ºN</t>
  </si>
  <si>
    <t>88.1ºW</t>
  </si>
  <si>
    <t>113, 303, 224, 210, 186, 22, 49, 341, 52, 95, 172, 159, 33, 185</t>
  </si>
  <si>
    <t>Ref 224: Bleaching and hurricane effects on coral recruits (juveniles) in Belize (Mumby 1999); taxa not named in title.</t>
  </si>
  <si>
    <t>Bermuda</t>
  </si>
  <si>
    <t>32.2ºN</t>
  </si>
  <si>
    <t>64.7ºW</t>
  </si>
  <si>
    <t>69, 339, 220, 113, 339, 343, 171, 341, 95, 293, 345, 34, 159, 167</t>
  </si>
  <si>
    <t>fire coral (Millepora; genus inferred from the common name) (ref 34)</t>
  </si>
  <si>
    <t>Ref 34: Title: 'Fire coral bleached by warm water' (news item, Bermuda).</t>
  </si>
  <si>
    <t>Bonaire</t>
  </si>
  <si>
    <t>12.2ºN</t>
  </si>
  <si>
    <t>68.3ºW</t>
  </si>
  <si>
    <t>339, 341, 299, 45, 159, 229</t>
  </si>
  <si>
    <t>Ref 45: Regional decline of the M. annularis complex (Bruckner 2012).</t>
  </si>
  <si>
    <t>British Virgin Islands</t>
  </si>
  <si>
    <t>18.4ºN</t>
  </si>
  <si>
    <t>64.6ºW</t>
  </si>
  <si>
    <t>181, 339, 155, 341, 95, 159</t>
  </si>
  <si>
    <t>Cayman Islands</t>
  </si>
  <si>
    <t>19.3ºN</t>
  </si>
  <si>
    <t>81.3ºW</t>
  </si>
  <si>
    <t>146, 339, 340, 129, 343, 62, 341, 95, 325, 45, 323, 159, 229</t>
  </si>
  <si>
    <t>Montastrea annularis (ref 146); Montastraea annularis complex (ref 45)</t>
  </si>
  <si>
    <t>Ref 146: Recovery of M. annularis after bleaching on a Cayman reef (Hayes &amp; Bush 1990).
Ref 45: Regional decline of the M. annularis complex (Bruckner 2012).</t>
  </si>
  <si>
    <t>Columbia (Caribbean)</t>
  </si>
  <si>
    <t>9.6ºN</t>
  </si>
  <si>
    <t>75.9ºW</t>
  </si>
  <si>
    <t>114, 348, 339, 294, 295, 339, 108, 328, 268, 269, 95, 329, 31, 159, (VP)</t>
  </si>
  <si>
    <t>Costa Rica (Caribbean)</t>
  </si>
  <si>
    <t>10.2ºN</t>
  </si>
  <si>
    <t>83.1ºW</t>
  </si>
  <si>
    <t>78, 114, 108, 160, 77, 159, (AR- S)</t>
  </si>
  <si>
    <t>Cuba</t>
  </si>
  <si>
    <t>22.ºN</t>
  </si>
  <si>
    <t>78.8ºW</t>
  </si>
  <si>
    <t>343, 10, 341, 95, 12, 13, 159, 11, 14</t>
  </si>
  <si>
    <t>Curacao</t>
  </si>
  <si>
    <t>69.0ºW</t>
  </si>
  <si>
    <t>214, 339, 27, 341, 330, 159, (MJAV)</t>
  </si>
  <si>
    <t>Dominican Republic</t>
  </si>
  <si>
    <t>18.9ºN</t>
  </si>
  <si>
    <t>69.6ºW</t>
  </si>
  <si>
    <t>339, 340, 341, 95, 159, 229</t>
  </si>
  <si>
    <t>Florida Keys</t>
  </si>
  <si>
    <t>24.8ºN</t>
  </si>
  <si>
    <t>80.9ºW</t>
  </si>
  <si>
    <t>100, 53, 143, 91, 279, 202, 341, 95, 333, 159, 204, 29, 229, 112, 339</t>
  </si>
  <si>
    <t>Montastrea annularis (ref 100); Briareum asbestinum (octocoral) (ref 143); Montastraea cavernosa; Porites astreoides (ref 204)</t>
  </si>
  <si>
    <t>Ref 100: Recovery of M. annularis after the 1987 Caribbean bleaching (Fitt et al. 1993).
Ref 143: Bleaching and disease, 1998 mass mortality of the octocoral B. asbestinum (Harvell et al. 2001).
Ref 204: Growth patterns of M. cavernosa and P. astreoides and thermal stress (Manzello et al. 2015).</t>
  </si>
  <si>
    <t>Gulf of Mexico (Texas Flower Gardens)</t>
  </si>
  <si>
    <t>27.9ºN</t>
  </si>
  <si>
    <t>93.8ºW</t>
  </si>
  <si>
    <t>339, 137, 53, 18, 150, 341, 95, 166, 159, 165</t>
  </si>
  <si>
    <t>Honduras</t>
  </si>
  <si>
    <t>16.1ºN</t>
  </si>
  <si>
    <t>86.8ºW</t>
  </si>
  <si>
    <t>136, 339, 184, 184, 139, 124, 274, 52, 102, 159, 185, 265</t>
  </si>
  <si>
    <t>Jamaica</t>
  </si>
  <si>
    <t>18.0ºN</t>
  </si>
  <si>
    <t>77.3ºW</t>
  </si>
  <si>
    <t>125, 109, 126, 113, 343, 171, 341, 95, 79, 159, TH</t>
  </si>
  <si>
    <t>Mexico (Yucatan)</t>
  </si>
  <si>
    <t>87.4ºW</t>
  </si>
  <si>
    <t>339, 184, 300, 341, 95, 159, 148, 176, 185 (AR-S)</t>
  </si>
  <si>
    <t>Ref 176: Symbiodinium (algal symbiont) community dynamics through a bleaching event (Kemp et al. 2014). Symbiont, not coral, type.</t>
  </si>
  <si>
    <t>Panama (Caribbean)</t>
  </si>
  <si>
    <t>9.3ºN</t>
  </si>
  <si>
    <t>114, 339, 108, 95, 159, 227, 193, 213</t>
  </si>
  <si>
    <t>Orbicella spp. (ref 193)</t>
  </si>
  <si>
    <t>Ref 193: Long-term reduced spawning in Orbicella species due to temperature stress (Levitan et al. 2014).</t>
  </si>
  <si>
    <t>Puerto Rico</t>
  </si>
  <si>
    <t>18.3ºN</t>
  </si>
  <si>
    <t>66.5ºW</t>
  </si>
  <si>
    <t>339, 119, 191, 342, 53, 107, 341, 95, 45, 159, 229</t>
  </si>
  <si>
    <t>St Croix &amp; US Virgin Islands</t>
  </si>
  <si>
    <t>17.7ºN</t>
  </si>
  <si>
    <t>64.8ºW</t>
  </si>
  <si>
    <t>339, 181, 250, 53, 270, 18, 202, 341, 217, 271, 95, 272, 96, 159</t>
  </si>
  <si>
    <t>Acropora palmata (ref 272)</t>
  </si>
  <si>
    <t>Ref 272: Bleaching, disease and recovery in A. palmata, St John (Rogers &amp; Muller 2012).</t>
  </si>
  <si>
    <t>Tobago</t>
  </si>
  <si>
    <t>11.2ºN</t>
  </si>
  <si>
    <t>60.7ºW</t>
  </si>
  <si>
    <t>339, 290, 140, 201, 95, 159, 15, 47</t>
  </si>
  <si>
    <t>Venezuela</t>
  </si>
  <si>
    <t>66.9ºW</t>
  </si>
  <si>
    <t>191, 267, 266, 30, 159</t>
  </si>
  <si>
    <t>Severe (S) records per year</t>
  </si>
  <si>
    <t>Minor-moderate (M) records per year</t>
  </si>
  <si>
    <t>Total records per year</t>
  </si>
  <si>
    <t>Ref #</t>
  </si>
  <si>
    <t>Full citation (from Table S1 bibliography)</t>
  </si>
  <si>
    <t>Rows citing it (# in Table S1)</t>
  </si>
  <si>
    <t>Coral taxa named</t>
  </si>
  <si>
    <t>What it says about coral type</t>
  </si>
  <si>
    <t>Anthony, S. L. Scleractinian coral mortality and color change on central Bahamian reefs: 1991-1995, University of Texas, (1997).</t>
  </si>
  <si>
    <t>79</t>
  </si>
  <si>
    <t>Scleractinian (hard) coral mortality and colour change, central Bahamas 1991-1995 (Anthony 1997); genera not named in title.</t>
  </si>
  <si>
    <t>Bell, J. Fire coral bleached by warm water. http://www.royalgazette.com/article/20130827/NEWS/130829740 (2013).</t>
  </si>
  <si>
    <t>82</t>
  </si>
  <si>
    <t>fire coral (Millepora; genus inferred from the common name)</t>
  </si>
  <si>
    <t>Title: 'Fire coral bleached by warm water' (news item, Bermuda).</t>
  </si>
  <si>
    <t>Bruckner, A. Factors contributing to the regional decline of Montastraea annularis (complex). Proc. 12th Int. Coral Reef Symp., Cairns, Australia, 1-5 (2012).</t>
  </si>
  <si>
    <t>79, 83, 85, 97</t>
  </si>
  <si>
    <t>Montastraea annularis complex</t>
  </si>
  <si>
    <t>Regional decline of the M. annularis complex (Bruckner 2012).</t>
  </si>
  <si>
    <t>Fitt, W. K., Spero, H. J., Halas, J., White, M. W. &amp; Porter, J. W. Recovery of the coral Montastrea annularis in the Florida Keys after the 1987 Caribbean “bleaching event”. Coral Reefs 12, 57-64 (1993).</t>
  </si>
  <si>
    <t>91</t>
  </si>
  <si>
    <t>Montastrea annularis</t>
  </si>
  <si>
    <t>Recovery of M. annularis after the 1987 Caribbean bleaching (Fitt et al. 1993).</t>
  </si>
  <si>
    <t>Floros, C. D., Samways, M. J. &amp; Armstrong, B. Taxonomic patterns of bleaching within a South African coral assemblage. Biodivers. Conserv. 13, 1175-1194 (2004).</t>
  </si>
  <si>
    <t>53</t>
  </si>
  <si>
    <t>Taxonomic patterns of bleaching in a South African coral assemblage (Floros et al. 2004); taxa not named in title.</t>
  </si>
  <si>
    <t>Harriott, V. J. Mortality rates of scleractinian corals before and during a mass bleaching event. Marine ecology progess series 21, 81-88 (1985).</t>
  </si>
  <si>
    <t>4</t>
  </si>
  <si>
    <t>Mortality rates of scleractinian (hard) corals before and during a mass bleaching event (Harriott 1985); genera not named in title.</t>
  </si>
  <si>
    <t>Harvell, D., Kim, K., Quirolo, C., Weir, J. &amp; Smith, G. Coral bleaching and disease: contributors to 1998 mass mortality in Briareum asbestinum (Octocorallia, Gorgonacea). Hydrobiologia 460, 97-104 (2001).</t>
  </si>
  <si>
    <t>Briareum asbestinum (octocoral)</t>
  </si>
  <si>
    <t>Bleaching and disease, 1998 mass mortality of the octocoral B. asbestinum (Harvell et al. 2001).</t>
  </si>
  <si>
    <t>Hayes, R. L. &amp; Bush, P. G. Microscopic observations of recovery in the reef-building scleractinian coral, Montastrea annularis, after bleaching on a Cayman reef. Coral Reefs 8, 203-209 (1990).</t>
  </si>
  <si>
    <t>85</t>
  </si>
  <si>
    <t>Recovery of M. annularis after bleaching on a Cayman reef (Hayes &amp; Bush 1990).</t>
  </si>
  <si>
    <t>Hongo, C. &amp; Yamano, H. Species-specific responses of corals to bleaching events on anthropogenically turbid reefs on Okinawa Island, Japan, over a 15-year period (1995-2009). Plos One 8, e60952 (2013).</t>
  </si>
  <si>
    <t>25</t>
  </si>
  <si>
    <t>Species-specific responses of corals to bleaching on Okinawa Island, 1995-2009 (Hongo &amp; Yamano 2013); species not named in title.</t>
  </si>
  <si>
    <t>Jimenez, C. &amp; Cortes, J. Effects of the 1991-92 El Nino on scleractinian corals of the Costa Rican central Pacific coast. Revista De Biologia Tropical 49, 239-250 (2001).</t>
  </si>
  <si>
    <t>61</t>
  </si>
  <si>
    <t>Effects of the 1991-92 El Nino on scleractinian (hard) corals, Costa Rica Pacific coast; genera not named in title.</t>
  </si>
  <si>
    <t>Kemp, D. W., Hernandez-Pech, X., Iglesias-Prieto, R., Fitt, W. K. &amp; Schmidt, G. W. Community dynamics and physiology of Symbiodinium spp. before, during, and after a coral bleaching event. Limnology and Oceanography 59, 788-797 (2014).</t>
  </si>
  <si>
    <t>95</t>
  </si>
  <si>
    <t>Symbiodinium (algal symbiont) community dynamics through a bleaching event (Kemp et al. 2014). Symbiont, not coral, type.</t>
  </si>
  <si>
    <t>Levitan, D. R., Boudreau, W., Jara, J. &amp; Knowlton, N. Long-term reduced spawning in Orbicella coral species due to temperature stress. Marine Ecology Progress Series 515, 1-10 (2014).</t>
  </si>
  <si>
    <t>96</t>
  </si>
  <si>
    <t>Orbicella spp.</t>
  </si>
  <si>
    <t>Long-term reduced spawning in Orbicella species due to temperature stress (Levitan et al. 2014).</t>
  </si>
  <si>
    <t>Loya Y et al. Coral bleaching: the winners and the losers. Ecology Letters 4, 122-131 (2001).</t>
  </si>
  <si>
    <t>Loya et al. 2001 ('the winners and the losers'), Sesoko Island, Okinawa. Species recorded from this paper in the Coral Trait Database: Acropora aspera, A. digitifera, A. gemmifera, Coelastrea (Goniastrea) aspera, Goniastrea retiformis, Montipora digitata, Pocillopora damicornis, P. verrucosa, Porites cylindrica, P. lutea, P. rus, P. sillimaniani. This lists taxa studied, not their susceptibility ranking.</t>
  </si>
  <si>
    <t>Manzello, D. P., Enochs, I. C., Kolodziej, G. &amp; Carlton, R. Coral growth patterns of Montastraea cavernosa and Porites astreoides in the Florida Keys: The importance of thermal stress and inimical waters. Journal of Experimental Marine Biology and Ecology 471, 198-207 (2015).</t>
  </si>
  <si>
    <t>Montastraea cavernosa; Porites astreoides</t>
  </si>
  <si>
    <t>Growth patterns of M. cavernosa and P. astreoides and thermal stress (Manzello et al. 2015).</t>
  </si>
  <si>
    <t>Marshall, P. A. &amp; Baird, A. H. Bleaching of corals on the Great Barrier Reef: differential susceptibilities among taxa. Coral Reefs 19, 155-163 (2000).</t>
  </si>
  <si>
    <t>3</t>
  </si>
  <si>
    <t>Marshall &amp; Baird 2000: 4,160 colonies, 45 genera, 15 families at four inshore GBR island sites, 1998. Acroporids and pocilloporids highly susceptible; Cyphastrea, Turbinaria and Galaxea relatively unaffected; hydrocorals (Millepora) most susceptible, 85% mortality. Inshore sites only, so may not represent the whole location.</t>
  </si>
  <si>
    <t>Matton-Moorgawa, Bhagooli, R. &amp; Rughooputh, S. D. D. V. Thermal stress physiology and mortality responses in scleractinian corals of Mauritius. Proc. 12th Int. Coral Reef Symp., Cairns, Australia, 1-6 (2012).</t>
  </si>
  <si>
    <t>46</t>
  </si>
  <si>
    <t>Thermal stress physiology and mortality of scleractinian (hard) corals in Mauritius; genera not named in title.</t>
  </si>
  <si>
    <t>McClanahan, T. R., Ateweberhan, M., Darling, E. S., Graham, N. A. &amp; Muthiga, N. A. Biogeography and change among regional coral communities across the Western Indian Ocean. PloS one 9, e93385 (2014).</t>
  </si>
  <si>
    <t>42, 47, 55</t>
  </si>
  <si>
    <t>Biogeography and change among regional coral communities across the western Indian Ocean (McClanahan et al. 2014); taxa not named in title.</t>
  </si>
  <si>
    <t>McClanahan, T. R. et al. Western Indian Ocean coral communities: bleaching responses and susceptibility to extinction. Marine Ecology Progress Series 337, 1-13 (2007).</t>
  </si>
  <si>
    <t>42, 43</t>
  </si>
  <si>
    <t>McClanahan et al. 2007, western Indian Ocean communities: southern Kenya to Mauritius (incl. Reunion) dominated by Acropora and Montipora, with branching Porites, Fungia, Galaxea, massive Porites, Pocillopora and Synarea as subdominants. Central/northern Indian Ocean sites dominated by massive Porites, Pavona and Pocillopora, which replaced Acropora and Montipora after 1998.</t>
  </si>
  <si>
    <t>McClanahan, T. R., Maina, J., Moothien-Pillay, R. &amp; Baker, A. C. Effects of geography, taxa, water flow, and temperature variation on coral bleaching intensity in Mauritius. Marine Ecology Progress Series 298, 131-142 (2005).</t>
  </si>
  <si>
    <t>Effects of geography, taxa, water flow and temperature on bleaching intensity in Mauritius (McClanahan et al. 2005); taxa not named in title.</t>
  </si>
  <si>
    <t>Mumby, P. J. Bleaching and hurricane disturbances to populations of coral recruits in Belize. Marine Ecology Progress Series 190, 27-35 (1999).</t>
  </si>
  <si>
    <t>81</t>
  </si>
  <si>
    <t>Bleaching and hurricane effects on coral recruits (juveniles) in Belize (Mumby 1999); taxa not named in title.</t>
  </si>
  <si>
    <t>Rogers, C. S. &amp; Muller, E. M. Bleaching, disease and recovery in the threatened scleractinian coral Acropora palmata in St. John, US Virgin Islands: 2003–2010. Coral Reefs 31, 807-819 (2012).</t>
  </si>
  <si>
    <t>98</t>
  </si>
  <si>
    <t>Acropora palmata</t>
  </si>
  <si>
    <t>Bleaching, disease and recovery in A. palmata, St John (Rogers &amp; Muller 2012).</t>
  </si>
  <si>
    <t>Scopélitis, J. et al. Changes of coral communities over 35 years: Integrating in situ and remote-sensing data on Saint-Leu Reef (la Réunion, Indian Ocean). Estuarine, Coastal and Shelf Science 84, 342-352 (2009).</t>
  </si>
  <si>
    <t>43</t>
  </si>
  <si>
    <t>Changes of coral communities over 35 years at Saint-Leu Reef (Scopelitis et al. 2009); taxa not named in title.</t>
  </si>
  <si>
    <t>Sebastian, C. R., Sink, K. J., McClanahan, T. R. &amp; Cowan, D. A. Bleaching response of corals and their Symbiodinium communities in southern Africa. Marine Biology 156, 2049-2062 (2009).</t>
  </si>
  <si>
    <t>48, 53</t>
  </si>
  <si>
    <t>Bleaching response of corals and their Symbiodinium communities in southern Africa (Sebastian et al. 2009). Symbiont as well as coral type.</t>
  </si>
  <si>
    <t>Sudek, M., Aeby, G. S. &amp; Davy, S. K. Localized bleaching in Hawaii causes tissue loss and a reduction in the number of gametes in Porites compressa. Coral Reefs 31, 351-355 (2012).</t>
  </si>
  <si>
    <t>67</t>
  </si>
  <si>
    <t>Porites compressa</t>
  </si>
  <si>
    <t>Localized bleaching in Hawaii: tissue loss and fewer gametes in P. compressa (Sudek et al.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</si>
</sst>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name val="Arial"/>
      <family val="2"/>
    </font>
    <font>
      <sz val="10"/>
      <name val="Arial"/>
      <family val="2"/>
    </font>
    <font>
      <b/>
      <sz val="10"/>
      <color rgb="FFFFFFFF"/>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BFBFBF"/>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3" fillId="2" borderId="0" xfId="0" applyFont="1" applyFill="1" applyAlignment="1">
      <alignment horizontal="center" vertical="center" wrapText="1"/>
    </xf>
    <xf numFmtId="0" fontId="2" fillId="0" borderId="1" xfId="0" applyFont="1" applyBorder="1" applyAlignment="1">
      <alignment horizontal="center"/>
    </xf>
    <xf numFmtId="0" fontId="2" fillId="0" borderId="1" xfId="0" applyFont="1" applyBorder="1"/>
    <xf numFmtId="3" fontId="2" fillId="0" borderId="1" xfId="0" applyNumberFormat="1" applyFont="1" applyBorder="1" applyAlignment="1">
      <alignment horizontal="right"/>
    </xf>
    <xf numFmtId="0" fontId="2" fillId="0" borderId="1" xfId="0" applyFont="1" applyBorder="1" applyAlignment="1">
      <alignment vertical="top" wrapText="1"/>
    </xf>
    <xf numFmtId="0" fontId="1" fillId="0" borderId="0" xfId="0" applyFont="1"/>
    <xf numFmtId="0" fontId="1" fillId="0" borderId="0" xfId="0" applyFont="1" applyAlignment="1">
      <alignment horizontal="center"/>
    </xf>
    <xf numFmtId="0" fontId="3" fillId="2" borderId="0" xfId="0" applyFont="1" applyFill="1" applyAlignment="1">
      <alignment vertical="center" wrapText="1"/>
    </xf>
  </cellXfs>
  <cellStyles count="1">
    <cellStyle name="Normal" xfId="0" builtinId="0"/>
  </cellStyles>
  <dxfs count="2">
    <dxf>
      <fill>
        <patternFill>
          <bgColor rgb="FFFFF2B3"/>
        </patternFill>
      </fill>
    </dxf>
    <dxf>
      <font>
        <b/>
        <sz val="10"/>
        <name val="Arial"/>
        <charset val="1"/>
      </font>
      <fill>
        <patternFill>
          <bgColor rgb="FFF4B6B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6B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5"/>
  <sheetViews>
    <sheetView tabSelected="1" zoomScaleNormal="100" workbookViewId="0">
      <pane xSplit="3" ySplit="1" topLeftCell="AB2" activePane="bottomRight" state="frozen"/>
      <selection pane="topRight" activeCell="D1" sqref="D1"/>
      <selection pane="bottomLeft" activeCell="A2" sqref="A2"/>
      <selection pane="bottomRight" activeCell="AS13" sqref="AS13"/>
    </sheetView>
  </sheetViews>
  <sheetFormatPr baseColWidth="10" defaultColWidth="8.6640625" defaultRowHeight="15" x14ac:dyDescent="0.2"/>
  <cols>
    <col min="1" max="1" width="5" customWidth="1"/>
    <col min="2" max="2" width="24" customWidth="1"/>
    <col min="3" max="3" width="44" customWidth="1"/>
    <col min="4" max="4" width="9" customWidth="1"/>
    <col min="5" max="6" width="10" customWidth="1"/>
    <col min="7" max="43" width="5.1640625" customWidth="1"/>
    <col min="44" max="44" width="9" customWidth="1"/>
    <col min="45" max="45" width="11" customWidth="1"/>
    <col min="46" max="46" width="9" customWidth="1"/>
    <col min="47" max="47" width="60" customWidth="1"/>
    <col min="48" max="48" width="42" customWidth="1"/>
    <col min="49" max="49" width="80" customWidth="1"/>
    <col min="50" max="50" width="14" customWidth="1"/>
  </cols>
  <sheetData>
    <row r="1" spans="1:50" ht="42" customHeight="1" x14ac:dyDescent="0.2">
      <c r="A1" s="2" t="s">
        <v>0</v>
      </c>
      <c r="B1" s="2" t="s">
        <v>1</v>
      </c>
      <c r="C1" s="2" t="s">
        <v>2</v>
      </c>
      <c r="D1" s="2" t="s">
        <v>3</v>
      </c>
      <c r="E1" s="2" t="s">
        <v>4</v>
      </c>
      <c r="F1" s="2" t="s">
        <v>5</v>
      </c>
      <c r="G1" s="2">
        <v>1980</v>
      </c>
      <c r="H1" s="2">
        <v>1981</v>
      </c>
      <c r="I1" s="2">
        <v>1982</v>
      </c>
      <c r="J1" s="2">
        <v>1983</v>
      </c>
      <c r="K1" s="2">
        <v>1984</v>
      </c>
      <c r="L1" s="2">
        <v>1985</v>
      </c>
      <c r="M1" s="2">
        <v>1986</v>
      </c>
      <c r="N1" s="2">
        <v>1987</v>
      </c>
      <c r="O1" s="2">
        <v>1988</v>
      </c>
      <c r="P1" s="2">
        <v>1989</v>
      </c>
      <c r="Q1" s="2">
        <v>1990</v>
      </c>
      <c r="R1" s="2">
        <v>1991</v>
      </c>
      <c r="S1" s="2">
        <v>1992</v>
      </c>
      <c r="T1" s="2">
        <v>1993</v>
      </c>
      <c r="U1" s="2">
        <v>1994</v>
      </c>
      <c r="V1" s="2">
        <v>1995</v>
      </c>
      <c r="W1" s="2">
        <v>1996</v>
      </c>
      <c r="X1" s="2">
        <v>1997</v>
      </c>
      <c r="Y1" s="2">
        <v>1998</v>
      </c>
      <c r="Z1" s="2">
        <v>1999</v>
      </c>
      <c r="AA1" s="2">
        <v>2000</v>
      </c>
      <c r="AB1" s="2">
        <v>2001</v>
      </c>
      <c r="AC1" s="2">
        <v>2002</v>
      </c>
      <c r="AD1" s="2">
        <v>2003</v>
      </c>
      <c r="AE1" s="2">
        <v>2004</v>
      </c>
      <c r="AF1" s="2">
        <v>2005</v>
      </c>
      <c r="AG1" s="2">
        <v>2006</v>
      </c>
      <c r="AH1" s="2">
        <v>2007</v>
      </c>
      <c r="AI1" s="2">
        <v>2008</v>
      </c>
      <c r="AJ1" s="2">
        <v>2009</v>
      </c>
      <c r="AK1" s="2">
        <v>2010</v>
      </c>
      <c r="AL1" s="2">
        <v>2011</v>
      </c>
      <c r="AM1" s="2">
        <v>2012</v>
      </c>
      <c r="AN1" s="2">
        <v>2013</v>
      </c>
      <c r="AO1" s="2">
        <v>2014</v>
      </c>
      <c r="AP1" s="2">
        <v>2015</v>
      </c>
      <c r="AQ1" s="2">
        <v>2016</v>
      </c>
      <c r="AR1" s="2" t="s">
        <v>6</v>
      </c>
      <c r="AS1" s="2" t="s">
        <v>7</v>
      </c>
      <c r="AT1" s="2" t="s">
        <v>8</v>
      </c>
      <c r="AU1" s="2" t="s">
        <v>9</v>
      </c>
      <c r="AV1" s="2" t="s">
        <v>10</v>
      </c>
      <c r="AW1" s="2" t="s">
        <v>11</v>
      </c>
      <c r="AX1" s="2" t="s">
        <v>12</v>
      </c>
    </row>
    <row r="2" spans="1:50" ht="15" customHeight="1" x14ac:dyDescent="0.2">
      <c r="A2" s="3">
        <v>1</v>
      </c>
      <c r="B2" s="4" t="s">
        <v>13</v>
      </c>
      <c r="C2" s="4" t="s">
        <v>14</v>
      </c>
      <c r="D2" s="4" t="s">
        <v>15</v>
      </c>
      <c r="E2" s="4" t="s">
        <v>16</v>
      </c>
      <c r="F2" s="5">
        <v>1165</v>
      </c>
      <c r="G2" s="3"/>
      <c r="H2" s="3"/>
      <c r="I2" s="3"/>
      <c r="J2" s="3"/>
      <c r="K2" s="3"/>
      <c r="L2" s="3"/>
      <c r="M2" s="3"/>
      <c r="N2" s="3"/>
      <c r="O2" s="3"/>
      <c r="P2" s="3"/>
      <c r="Q2" s="3"/>
      <c r="R2" s="3"/>
      <c r="S2" s="3"/>
      <c r="T2" s="3"/>
      <c r="U2" s="3"/>
      <c r="V2" s="3"/>
      <c r="W2" s="3"/>
      <c r="X2" s="3"/>
      <c r="Y2" s="3" t="s">
        <v>17</v>
      </c>
      <c r="Z2" s="3"/>
      <c r="AA2" s="3"/>
      <c r="AB2" s="3"/>
      <c r="AC2" s="3" t="s">
        <v>17</v>
      </c>
      <c r="AD2" s="3"/>
      <c r="AE2" s="3" t="s">
        <v>18</v>
      </c>
      <c r="AF2" s="3"/>
      <c r="AG2" s="3"/>
      <c r="AH2" s="3"/>
      <c r="AI2" s="3"/>
      <c r="AJ2" s="3"/>
      <c r="AK2" s="3"/>
      <c r="AL2" s="3"/>
      <c r="AM2" s="3"/>
      <c r="AN2" s="3"/>
      <c r="AO2" s="3"/>
      <c r="AP2" s="3"/>
      <c r="AQ2" s="3" t="s">
        <v>17</v>
      </c>
      <c r="AR2" s="3">
        <f t="shared" ref="AR2:AR33" si="0">COUNTIF(G2:AQ2,"S")</f>
        <v>3</v>
      </c>
      <c r="AS2" s="3">
        <f t="shared" ref="AS2:AS33" si="1">COUNTIF(G2:AQ2,"M")</f>
        <v>1</v>
      </c>
      <c r="AT2" s="3">
        <f t="shared" ref="AT2:AT33" si="2">AR2+AS2</f>
        <v>4</v>
      </c>
      <c r="AU2" s="4" t="s">
        <v>19</v>
      </c>
      <c r="AV2" s="6" t="s">
        <v>20</v>
      </c>
      <c r="AW2" s="6" t="s">
        <v>20</v>
      </c>
      <c r="AX2" s="6" t="s">
        <v>21</v>
      </c>
    </row>
    <row r="3" spans="1:50" ht="15" customHeight="1" x14ac:dyDescent="0.2">
      <c r="A3" s="3">
        <v>2</v>
      </c>
      <c r="B3" s="4" t="s">
        <v>13</v>
      </c>
      <c r="C3" s="4" t="s">
        <v>22</v>
      </c>
      <c r="D3" s="4" t="s">
        <v>23</v>
      </c>
      <c r="E3" s="4" t="s">
        <v>24</v>
      </c>
      <c r="F3" s="5">
        <v>231</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t="s">
        <v>18</v>
      </c>
      <c r="AR3" s="3">
        <f t="shared" si="0"/>
        <v>0</v>
      </c>
      <c r="AS3" s="3">
        <f t="shared" si="1"/>
        <v>1</v>
      </c>
      <c r="AT3" s="3">
        <f t="shared" si="2"/>
        <v>1</v>
      </c>
      <c r="AU3" s="4" t="s">
        <v>25</v>
      </c>
      <c r="AV3" s="6" t="s">
        <v>20</v>
      </c>
      <c r="AW3" s="6" t="s">
        <v>20</v>
      </c>
      <c r="AX3" s="6" t="s">
        <v>21</v>
      </c>
    </row>
    <row r="4" spans="1:50" ht="15" customHeight="1" x14ac:dyDescent="0.2">
      <c r="A4" s="3">
        <v>3</v>
      </c>
      <c r="B4" s="4" t="s">
        <v>13</v>
      </c>
      <c r="C4" s="4" t="s">
        <v>26</v>
      </c>
      <c r="D4" s="4" t="s">
        <v>27</v>
      </c>
      <c r="E4" s="4" t="s">
        <v>28</v>
      </c>
      <c r="F4" s="5">
        <v>7735</v>
      </c>
      <c r="G4" s="3" t="s">
        <v>18</v>
      </c>
      <c r="H4" s="3"/>
      <c r="I4" s="3"/>
      <c r="J4" s="3" t="s">
        <v>18</v>
      </c>
      <c r="K4" s="3"/>
      <c r="L4" s="3"/>
      <c r="M4" s="3"/>
      <c r="N4" s="3" t="s">
        <v>18</v>
      </c>
      <c r="O4" s="3"/>
      <c r="P4" s="3"/>
      <c r="Q4" s="3"/>
      <c r="R4" s="3"/>
      <c r="S4" s="3" t="s">
        <v>18</v>
      </c>
      <c r="T4" s="3"/>
      <c r="U4" s="3" t="s">
        <v>18</v>
      </c>
      <c r="V4" s="3"/>
      <c r="W4" s="3"/>
      <c r="X4" s="3"/>
      <c r="Y4" s="3" t="s">
        <v>17</v>
      </c>
      <c r="Z4" s="3"/>
      <c r="AA4" s="3"/>
      <c r="AB4" s="3"/>
      <c r="AC4" s="3" t="s">
        <v>17</v>
      </c>
      <c r="AD4" s="3"/>
      <c r="AE4" s="3"/>
      <c r="AF4" s="3"/>
      <c r="AG4" s="3"/>
      <c r="AH4" s="3"/>
      <c r="AI4" s="3"/>
      <c r="AJ4" s="3"/>
      <c r="AK4" s="3"/>
      <c r="AL4" s="3"/>
      <c r="AM4" s="3"/>
      <c r="AN4" s="3"/>
      <c r="AO4" s="3"/>
      <c r="AP4" s="3"/>
      <c r="AQ4" s="3" t="s">
        <v>17</v>
      </c>
      <c r="AR4" s="3">
        <f t="shared" si="0"/>
        <v>3</v>
      </c>
      <c r="AS4" s="3">
        <f t="shared" si="1"/>
        <v>5</v>
      </c>
      <c r="AT4" s="3">
        <f t="shared" si="2"/>
        <v>8</v>
      </c>
      <c r="AU4" s="4" t="s">
        <v>29</v>
      </c>
      <c r="AV4" s="6" t="s">
        <v>20</v>
      </c>
      <c r="AW4" s="6" t="s">
        <v>30</v>
      </c>
      <c r="AX4" s="6" t="s">
        <v>31</v>
      </c>
    </row>
    <row r="5" spans="1:50" ht="15" customHeight="1" x14ac:dyDescent="0.2">
      <c r="A5" s="3">
        <v>4</v>
      </c>
      <c r="B5" s="4" t="s">
        <v>13</v>
      </c>
      <c r="C5" s="4" t="s">
        <v>32</v>
      </c>
      <c r="D5" s="4" t="s">
        <v>33</v>
      </c>
      <c r="E5" s="4" t="s">
        <v>34</v>
      </c>
      <c r="F5" s="5">
        <v>9319</v>
      </c>
      <c r="G5" s="3" t="s">
        <v>18</v>
      </c>
      <c r="H5" s="3"/>
      <c r="I5" s="3"/>
      <c r="J5" s="3" t="s">
        <v>18</v>
      </c>
      <c r="K5" s="3"/>
      <c r="L5" s="3"/>
      <c r="M5" s="3"/>
      <c r="N5" s="3"/>
      <c r="O5" s="3"/>
      <c r="P5" s="3"/>
      <c r="Q5" s="3"/>
      <c r="R5" s="3"/>
      <c r="S5" s="3"/>
      <c r="T5" s="3"/>
      <c r="U5" s="3"/>
      <c r="V5" s="3"/>
      <c r="W5" s="3"/>
      <c r="X5" s="3"/>
      <c r="Y5" s="3" t="s">
        <v>17</v>
      </c>
      <c r="Z5" s="3"/>
      <c r="AA5" s="3"/>
      <c r="AB5" s="3"/>
      <c r="AC5" s="3" t="s">
        <v>17</v>
      </c>
      <c r="AD5" s="3"/>
      <c r="AE5" s="3"/>
      <c r="AF5" s="3"/>
      <c r="AG5" s="3"/>
      <c r="AH5" s="3"/>
      <c r="AI5" s="3"/>
      <c r="AJ5" s="3"/>
      <c r="AK5" s="3"/>
      <c r="AL5" s="3"/>
      <c r="AM5" s="3"/>
      <c r="AN5" s="3"/>
      <c r="AO5" s="3"/>
      <c r="AP5" s="3"/>
      <c r="AQ5" s="3" t="s">
        <v>17</v>
      </c>
      <c r="AR5" s="3">
        <f t="shared" si="0"/>
        <v>3</v>
      </c>
      <c r="AS5" s="3">
        <f t="shared" si="1"/>
        <v>2</v>
      </c>
      <c r="AT5" s="3">
        <f t="shared" si="2"/>
        <v>5</v>
      </c>
      <c r="AU5" s="4" t="s">
        <v>35</v>
      </c>
      <c r="AV5" s="6" t="s">
        <v>20</v>
      </c>
      <c r="AW5" s="6" t="s">
        <v>36</v>
      </c>
      <c r="AX5" s="6" t="s">
        <v>37</v>
      </c>
    </row>
    <row r="6" spans="1:50" ht="15" customHeight="1" x14ac:dyDescent="0.2">
      <c r="A6" s="3">
        <v>5</v>
      </c>
      <c r="B6" s="4" t="s">
        <v>13</v>
      </c>
      <c r="C6" s="4" t="s">
        <v>38</v>
      </c>
      <c r="D6" s="4" t="s">
        <v>39</v>
      </c>
      <c r="E6" s="4" t="s">
        <v>40</v>
      </c>
      <c r="F6" s="5">
        <v>6872</v>
      </c>
      <c r="G6" s="3"/>
      <c r="H6" s="3"/>
      <c r="I6" s="3"/>
      <c r="J6" s="3"/>
      <c r="K6" s="3"/>
      <c r="L6" s="3"/>
      <c r="M6" s="3"/>
      <c r="N6" s="3"/>
      <c r="O6" s="3"/>
      <c r="P6" s="3"/>
      <c r="Q6" s="3"/>
      <c r="R6" s="3"/>
      <c r="S6" s="3"/>
      <c r="T6" s="3"/>
      <c r="U6" s="3"/>
      <c r="V6" s="3"/>
      <c r="W6" s="3"/>
      <c r="X6" s="3"/>
      <c r="Y6" s="3" t="s">
        <v>17</v>
      </c>
      <c r="Z6" s="3"/>
      <c r="AA6" s="3"/>
      <c r="AB6" s="3"/>
      <c r="AC6" s="3" t="s">
        <v>17</v>
      </c>
      <c r="AD6" s="3"/>
      <c r="AE6" s="3"/>
      <c r="AF6" s="3"/>
      <c r="AG6" s="3" t="s">
        <v>18</v>
      </c>
      <c r="AH6" s="3"/>
      <c r="AI6" s="3"/>
      <c r="AJ6" s="3"/>
      <c r="AK6" s="3"/>
      <c r="AL6" s="3"/>
      <c r="AM6" s="3"/>
      <c r="AN6" s="3"/>
      <c r="AO6" s="3"/>
      <c r="AP6" s="3"/>
      <c r="AQ6" s="3" t="s">
        <v>18</v>
      </c>
      <c r="AR6" s="3">
        <f t="shared" si="0"/>
        <v>2</v>
      </c>
      <c r="AS6" s="3">
        <f t="shared" si="1"/>
        <v>2</v>
      </c>
      <c r="AT6" s="3">
        <f t="shared" si="2"/>
        <v>4</v>
      </c>
      <c r="AU6" s="4" t="s">
        <v>41</v>
      </c>
      <c r="AV6" s="6" t="s">
        <v>20</v>
      </c>
      <c r="AW6" s="6" t="s">
        <v>20</v>
      </c>
      <c r="AX6" s="6" t="s">
        <v>21</v>
      </c>
    </row>
    <row r="7" spans="1:50" ht="15" customHeight="1" x14ac:dyDescent="0.2">
      <c r="A7" s="3">
        <v>6</v>
      </c>
      <c r="B7" s="4" t="s">
        <v>13</v>
      </c>
      <c r="C7" s="4" t="s">
        <v>42</v>
      </c>
      <c r="D7" s="4" t="s">
        <v>43</v>
      </c>
      <c r="E7" s="4" t="s">
        <v>44</v>
      </c>
      <c r="F7" s="5">
        <v>688</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t="s">
        <v>17</v>
      </c>
      <c r="AR7" s="3">
        <f t="shared" si="0"/>
        <v>1</v>
      </c>
      <c r="AS7" s="3">
        <f t="shared" si="1"/>
        <v>0</v>
      </c>
      <c r="AT7" s="3">
        <f t="shared" si="2"/>
        <v>1</v>
      </c>
      <c r="AU7" s="4" t="s">
        <v>45</v>
      </c>
      <c r="AV7" s="6" t="s">
        <v>20</v>
      </c>
      <c r="AW7" s="6" t="s">
        <v>20</v>
      </c>
      <c r="AX7" s="6" t="s">
        <v>21</v>
      </c>
    </row>
    <row r="8" spans="1:50" ht="15" customHeight="1" x14ac:dyDescent="0.2">
      <c r="A8" s="3">
        <v>7</v>
      </c>
      <c r="B8" s="4" t="s">
        <v>13</v>
      </c>
      <c r="C8" s="4" t="s">
        <v>46</v>
      </c>
      <c r="D8" s="4" t="s">
        <v>47</v>
      </c>
      <c r="E8" s="4" t="s">
        <v>48</v>
      </c>
      <c r="F8" s="5">
        <v>12</v>
      </c>
      <c r="G8" s="3"/>
      <c r="H8" s="3"/>
      <c r="I8" s="3"/>
      <c r="J8" s="3"/>
      <c r="K8" s="3"/>
      <c r="L8" s="3"/>
      <c r="M8" s="3"/>
      <c r="N8" s="3"/>
      <c r="O8" s="3"/>
      <c r="P8" s="3"/>
      <c r="Q8" s="3"/>
      <c r="R8" s="3"/>
      <c r="S8" s="3"/>
      <c r="T8" s="3"/>
      <c r="U8" s="3"/>
      <c r="V8" s="3"/>
      <c r="W8" s="3"/>
      <c r="X8" s="3"/>
      <c r="Y8" s="3"/>
      <c r="Z8" s="3"/>
      <c r="AA8" s="3"/>
      <c r="AB8" s="3"/>
      <c r="AC8" s="3"/>
      <c r="AD8" s="3"/>
      <c r="AE8" s="3"/>
      <c r="AF8" s="3" t="s">
        <v>18</v>
      </c>
      <c r="AG8" s="3"/>
      <c r="AH8" s="3"/>
      <c r="AI8" s="3"/>
      <c r="AJ8" s="3"/>
      <c r="AK8" s="3" t="s">
        <v>17</v>
      </c>
      <c r="AL8" s="3" t="s">
        <v>18</v>
      </c>
      <c r="AM8" s="3" t="s">
        <v>18</v>
      </c>
      <c r="AN8" s="3"/>
      <c r="AO8" s="3" t="s">
        <v>18</v>
      </c>
      <c r="AP8" s="3"/>
      <c r="AQ8" s="3"/>
      <c r="AR8" s="3">
        <f t="shared" si="0"/>
        <v>1</v>
      </c>
      <c r="AS8" s="3">
        <f t="shared" si="1"/>
        <v>4</v>
      </c>
      <c r="AT8" s="3">
        <f t="shared" si="2"/>
        <v>5</v>
      </c>
      <c r="AU8" s="4" t="s">
        <v>49</v>
      </c>
      <c r="AV8" s="6" t="s">
        <v>20</v>
      </c>
      <c r="AW8" s="6" t="s">
        <v>20</v>
      </c>
      <c r="AX8" s="6" t="s">
        <v>21</v>
      </c>
    </row>
    <row r="9" spans="1:50" ht="15" customHeight="1" x14ac:dyDescent="0.2">
      <c r="A9" s="3">
        <v>8</v>
      </c>
      <c r="B9" s="4" t="s">
        <v>13</v>
      </c>
      <c r="C9" s="4" t="s">
        <v>50</v>
      </c>
      <c r="D9" s="4" t="s">
        <v>51</v>
      </c>
      <c r="E9" s="4" t="s">
        <v>52</v>
      </c>
      <c r="F9" s="5"/>
      <c r="G9" s="3"/>
      <c r="H9" s="3"/>
      <c r="I9" s="3"/>
      <c r="J9" s="3"/>
      <c r="K9" s="3"/>
      <c r="L9" s="3"/>
      <c r="M9" s="3"/>
      <c r="N9" s="3"/>
      <c r="O9" s="3"/>
      <c r="P9" s="3"/>
      <c r="Q9" s="3"/>
      <c r="R9" s="3"/>
      <c r="S9" s="3"/>
      <c r="T9" s="3"/>
      <c r="U9" s="3"/>
      <c r="V9" s="3"/>
      <c r="W9" s="3"/>
      <c r="X9" s="3"/>
      <c r="Y9" s="3"/>
      <c r="Z9" s="3"/>
      <c r="AA9" s="3"/>
      <c r="AB9" s="3"/>
      <c r="AC9" s="3"/>
      <c r="AD9" s="3"/>
      <c r="AE9" s="3"/>
      <c r="AF9" s="3"/>
      <c r="AG9" s="3"/>
      <c r="AH9" s="3" t="s">
        <v>18</v>
      </c>
      <c r="AI9" s="3"/>
      <c r="AJ9" s="3"/>
      <c r="AK9" s="3" t="s">
        <v>18</v>
      </c>
      <c r="AL9" s="3"/>
      <c r="AM9" s="3" t="s">
        <v>18</v>
      </c>
      <c r="AN9" s="3" t="s">
        <v>18</v>
      </c>
      <c r="AO9" s="3"/>
      <c r="AP9" s="3"/>
      <c r="AQ9" s="3" t="s">
        <v>18</v>
      </c>
      <c r="AR9" s="3">
        <f t="shared" si="0"/>
        <v>0</v>
      </c>
      <c r="AS9" s="3">
        <f t="shared" si="1"/>
        <v>5</v>
      </c>
      <c r="AT9" s="3">
        <f t="shared" si="2"/>
        <v>5</v>
      </c>
      <c r="AU9" s="4" t="s">
        <v>53</v>
      </c>
      <c r="AV9" s="6" t="s">
        <v>20</v>
      </c>
      <c r="AW9" s="6" t="s">
        <v>20</v>
      </c>
      <c r="AX9" s="6" t="s">
        <v>21</v>
      </c>
    </row>
    <row r="10" spans="1:50" ht="15" customHeight="1" x14ac:dyDescent="0.2">
      <c r="A10" s="3">
        <v>9</v>
      </c>
      <c r="B10" s="4" t="s">
        <v>13</v>
      </c>
      <c r="C10" s="4" t="s">
        <v>54</v>
      </c>
      <c r="D10" s="4" t="s">
        <v>55</v>
      </c>
      <c r="E10" s="4" t="s">
        <v>56</v>
      </c>
      <c r="F10" s="5">
        <v>120</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t="s">
        <v>17</v>
      </c>
      <c r="AM10" s="3"/>
      <c r="AN10" s="3"/>
      <c r="AO10" s="3"/>
      <c r="AP10" s="3"/>
      <c r="AQ10" s="3" t="s">
        <v>18</v>
      </c>
      <c r="AR10" s="3">
        <f t="shared" si="0"/>
        <v>1</v>
      </c>
      <c r="AS10" s="3">
        <f t="shared" si="1"/>
        <v>1</v>
      </c>
      <c r="AT10" s="3">
        <f t="shared" si="2"/>
        <v>2</v>
      </c>
      <c r="AU10" s="4" t="s">
        <v>57</v>
      </c>
      <c r="AV10" s="6" t="s">
        <v>20</v>
      </c>
      <c r="AW10" s="6" t="s">
        <v>20</v>
      </c>
      <c r="AX10" s="6" t="s">
        <v>21</v>
      </c>
    </row>
    <row r="11" spans="1:50" ht="15" customHeight="1" x14ac:dyDescent="0.2">
      <c r="A11" s="3">
        <v>10</v>
      </c>
      <c r="B11" s="4" t="s">
        <v>13</v>
      </c>
      <c r="C11" s="4" t="s">
        <v>58</v>
      </c>
      <c r="D11" s="4" t="s">
        <v>27</v>
      </c>
      <c r="E11" s="4" t="s">
        <v>59</v>
      </c>
      <c r="F11" s="5">
        <v>316</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t="s">
        <v>17</v>
      </c>
      <c r="AM11" s="3"/>
      <c r="AN11" s="3" t="s">
        <v>17</v>
      </c>
      <c r="AO11" s="3" t="s">
        <v>18</v>
      </c>
      <c r="AP11" s="3"/>
      <c r="AQ11" s="3"/>
      <c r="AR11" s="3">
        <f t="shared" si="0"/>
        <v>2</v>
      </c>
      <c r="AS11" s="3">
        <f t="shared" si="1"/>
        <v>1</v>
      </c>
      <c r="AT11" s="3">
        <f t="shared" si="2"/>
        <v>3</v>
      </c>
      <c r="AU11" s="4" t="s">
        <v>60</v>
      </c>
      <c r="AV11" s="6" t="s">
        <v>20</v>
      </c>
      <c r="AW11" s="6" t="s">
        <v>20</v>
      </c>
      <c r="AX11" s="6" t="s">
        <v>21</v>
      </c>
    </row>
    <row r="12" spans="1:50" ht="15" customHeight="1" x14ac:dyDescent="0.2">
      <c r="A12" s="3">
        <v>11</v>
      </c>
      <c r="B12" s="4" t="s">
        <v>13</v>
      </c>
      <c r="C12" s="4" t="s">
        <v>61</v>
      </c>
      <c r="D12" s="4" t="s">
        <v>62</v>
      </c>
      <c r="E12" s="4" t="s">
        <v>63</v>
      </c>
      <c r="F12" s="5"/>
      <c r="G12" s="3"/>
      <c r="H12" s="3"/>
      <c r="I12" s="3"/>
      <c r="J12" s="3"/>
      <c r="K12" s="3"/>
      <c r="L12" s="3"/>
      <c r="M12" s="3"/>
      <c r="N12" s="3"/>
      <c r="O12" s="3"/>
      <c r="P12" s="3"/>
      <c r="Q12" s="3"/>
      <c r="R12" s="3"/>
      <c r="S12" s="3"/>
      <c r="T12" s="3"/>
      <c r="U12" s="3"/>
      <c r="V12" s="3"/>
      <c r="W12" s="3"/>
      <c r="X12" s="3"/>
      <c r="Y12" s="3" t="s">
        <v>17</v>
      </c>
      <c r="Z12" s="3"/>
      <c r="AA12" s="3"/>
      <c r="AB12" s="3" t="s">
        <v>18</v>
      </c>
      <c r="AC12" s="3" t="s">
        <v>18</v>
      </c>
      <c r="AD12" s="3"/>
      <c r="AE12" s="3"/>
      <c r="AF12" s="3" t="s">
        <v>18</v>
      </c>
      <c r="AG12" s="3" t="s">
        <v>18</v>
      </c>
      <c r="AH12" s="3" t="s">
        <v>18</v>
      </c>
      <c r="AI12" s="3"/>
      <c r="AJ12" s="3"/>
      <c r="AK12" s="3"/>
      <c r="AL12" s="3"/>
      <c r="AM12" s="3"/>
      <c r="AN12" s="3"/>
      <c r="AO12" s="3"/>
      <c r="AP12" s="3" t="s">
        <v>18</v>
      </c>
      <c r="AQ12" s="3" t="s">
        <v>17</v>
      </c>
      <c r="AR12" s="3">
        <f t="shared" si="0"/>
        <v>2</v>
      </c>
      <c r="AS12" s="3">
        <f t="shared" si="1"/>
        <v>6</v>
      </c>
      <c r="AT12" s="3">
        <f t="shared" si="2"/>
        <v>8</v>
      </c>
      <c r="AU12" s="4" t="s">
        <v>64</v>
      </c>
      <c r="AV12" s="6" t="s">
        <v>20</v>
      </c>
      <c r="AW12" s="6" t="s">
        <v>20</v>
      </c>
      <c r="AX12" s="6" t="s">
        <v>21</v>
      </c>
    </row>
    <row r="13" spans="1:50" ht="15" customHeight="1" x14ac:dyDescent="0.2">
      <c r="A13" s="3">
        <v>12</v>
      </c>
      <c r="B13" s="4" t="s">
        <v>13</v>
      </c>
      <c r="C13" s="4" t="s">
        <v>65</v>
      </c>
      <c r="D13" s="4" t="s">
        <v>66</v>
      </c>
      <c r="E13" s="4" t="s">
        <v>67</v>
      </c>
      <c r="F13" s="5">
        <v>2</v>
      </c>
      <c r="G13" s="3"/>
      <c r="H13" s="3"/>
      <c r="I13" s="3"/>
      <c r="J13" s="3"/>
      <c r="K13" s="3"/>
      <c r="L13" s="3"/>
      <c r="M13" s="3"/>
      <c r="N13" s="3"/>
      <c r="O13" s="3"/>
      <c r="P13" s="3"/>
      <c r="Q13" s="3"/>
      <c r="R13" s="3"/>
      <c r="S13" s="3"/>
      <c r="T13" s="3"/>
      <c r="U13" s="3"/>
      <c r="V13" s="3"/>
      <c r="W13" s="3"/>
      <c r="X13" s="3"/>
      <c r="Y13" s="3"/>
      <c r="Z13" s="3"/>
      <c r="AA13" s="3"/>
      <c r="AB13" s="3"/>
      <c r="AC13" s="3"/>
      <c r="AD13" s="3"/>
      <c r="AE13" s="3"/>
      <c r="AF13" s="3" t="s">
        <v>18</v>
      </c>
      <c r="AG13" s="3"/>
      <c r="AH13" s="3"/>
      <c r="AI13" s="3"/>
      <c r="AJ13" s="3"/>
      <c r="AK13" s="3"/>
      <c r="AL13" s="3"/>
      <c r="AM13" s="3"/>
      <c r="AN13" s="3"/>
      <c r="AO13" s="3"/>
      <c r="AP13" s="3"/>
      <c r="AQ13" s="3" t="s">
        <v>17</v>
      </c>
      <c r="AR13" s="3">
        <f t="shared" si="0"/>
        <v>1</v>
      </c>
      <c r="AS13" s="3">
        <f t="shared" si="1"/>
        <v>1</v>
      </c>
      <c r="AT13" s="3">
        <f t="shared" si="2"/>
        <v>2</v>
      </c>
      <c r="AU13" s="4" t="s">
        <v>68</v>
      </c>
      <c r="AV13" s="6" t="s">
        <v>20</v>
      </c>
      <c r="AW13" s="6" t="s">
        <v>20</v>
      </c>
      <c r="AX13" s="6" t="s">
        <v>21</v>
      </c>
    </row>
    <row r="14" spans="1:50" ht="15" customHeight="1" x14ac:dyDescent="0.2">
      <c r="A14" s="3">
        <v>13</v>
      </c>
      <c r="B14" s="4" t="s">
        <v>13</v>
      </c>
      <c r="C14" s="4" t="s">
        <v>69</v>
      </c>
      <c r="D14" s="4" t="s">
        <v>70</v>
      </c>
      <c r="E14" s="4" t="s">
        <v>71</v>
      </c>
      <c r="F14" s="5">
        <v>385</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t="s">
        <v>17</v>
      </c>
      <c r="AM14" s="3"/>
      <c r="AN14" s="3"/>
      <c r="AO14" s="3"/>
      <c r="AP14" s="3"/>
      <c r="AQ14" s="3"/>
      <c r="AR14" s="3">
        <f t="shared" si="0"/>
        <v>1</v>
      </c>
      <c r="AS14" s="3">
        <f t="shared" si="1"/>
        <v>0</v>
      </c>
      <c r="AT14" s="3">
        <f t="shared" si="2"/>
        <v>1</v>
      </c>
      <c r="AU14" s="4" t="s">
        <v>72</v>
      </c>
      <c r="AV14" s="6" t="s">
        <v>20</v>
      </c>
      <c r="AW14" s="6" t="s">
        <v>20</v>
      </c>
      <c r="AX14" s="6" t="s">
        <v>21</v>
      </c>
    </row>
    <row r="15" spans="1:50" ht="15" customHeight="1" x14ac:dyDescent="0.2">
      <c r="A15" s="3">
        <v>14</v>
      </c>
      <c r="B15" s="4" t="s">
        <v>13</v>
      </c>
      <c r="C15" s="4" t="s">
        <v>73</v>
      </c>
      <c r="D15" s="4" t="s">
        <v>74</v>
      </c>
      <c r="E15" s="4" t="s">
        <v>75</v>
      </c>
      <c r="F15" s="5">
        <v>3735</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t="s">
        <v>17</v>
      </c>
      <c r="AL15" s="3"/>
      <c r="AM15" s="3"/>
      <c r="AN15" s="3"/>
      <c r="AO15" s="3"/>
      <c r="AP15" s="3"/>
      <c r="AQ15" s="3" t="s">
        <v>17</v>
      </c>
      <c r="AR15" s="3">
        <f t="shared" si="0"/>
        <v>2</v>
      </c>
      <c r="AS15" s="3">
        <f t="shared" si="1"/>
        <v>0</v>
      </c>
      <c r="AT15" s="3">
        <f t="shared" si="2"/>
        <v>2</v>
      </c>
      <c r="AU15" s="4" t="s">
        <v>76</v>
      </c>
      <c r="AV15" s="6" t="s">
        <v>20</v>
      </c>
      <c r="AW15" s="6" t="s">
        <v>20</v>
      </c>
      <c r="AX15" s="6" t="s">
        <v>21</v>
      </c>
    </row>
    <row r="16" spans="1:50" ht="15" customHeight="1" x14ac:dyDescent="0.2">
      <c r="A16" s="3">
        <v>15</v>
      </c>
      <c r="B16" s="4" t="s">
        <v>13</v>
      </c>
      <c r="C16" s="4" t="s">
        <v>77</v>
      </c>
      <c r="D16" s="4" t="s">
        <v>78</v>
      </c>
      <c r="E16" s="4" t="s">
        <v>79</v>
      </c>
      <c r="F16" s="5">
        <v>344</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t="s">
        <v>17</v>
      </c>
      <c r="AL16" s="3"/>
      <c r="AM16" s="3"/>
      <c r="AN16" s="3"/>
      <c r="AO16" s="3"/>
      <c r="AP16" s="3"/>
      <c r="AQ16" s="3" t="s">
        <v>17</v>
      </c>
      <c r="AR16" s="3">
        <f t="shared" si="0"/>
        <v>2</v>
      </c>
      <c r="AS16" s="3">
        <f t="shared" si="1"/>
        <v>0</v>
      </c>
      <c r="AT16" s="3">
        <f t="shared" si="2"/>
        <v>2</v>
      </c>
      <c r="AU16" s="4" t="s">
        <v>80</v>
      </c>
      <c r="AV16" s="6" t="s">
        <v>20</v>
      </c>
      <c r="AW16" s="6" t="s">
        <v>20</v>
      </c>
      <c r="AX16" s="6" t="s">
        <v>21</v>
      </c>
    </row>
    <row r="17" spans="1:50" ht="15" customHeight="1" x14ac:dyDescent="0.2">
      <c r="A17" s="3">
        <v>16</v>
      </c>
      <c r="B17" s="4" t="s">
        <v>13</v>
      </c>
      <c r="C17" s="4" t="s">
        <v>81</v>
      </c>
      <c r="D17" s="4" t="s">
        <v>82</v>
      </c>
      <c r="E17" s="4" t="s">
        <v>44</v>
      </c>
      <c r="F17" s="5">
        <v>152</v>
      </c>
      <c r="G17" s="3"/>
      <c r="H17" s="3"/>
      <c r="I17" s="3"/>
      <c r="J17" s="3"/>
      <c r="K17" s="3"/>
      <c r="L17" s="3"/>
      <c r="M17" s="3"/>
      <c r="N17" s="3"/>
      <c r="O17" s="3"/>
      <c r="P17" s="3"/>
      <c r="Q17" s="3"/>
      <c r="R17" s="3"/>
      <c r="S17" s="3"/>
      <c r="T17" s="3" t="s">
        <v>17</v>
      </c>
      <c r="U17" s="3"/>
      <c r="V17" s="3"/>
      <c r="W17" s="3"/>
      <c r="X17" s="3"/>
      <c r="Y17" s="3" t="s">
        <v>17</v>
      </c>
      <c r="Z17" s="3"/>
      <c r="AA17" s="3"/>
      <c r="AB17" s="3"/>
      <c r="AC17" s="3"/>
      <c r="AD17" s="3"/>
      <c r="AE17" s="3"/>
      <c r="AF17" s="3"/>
      <c r="AG17" s="3"/>
      <c r="AH17" s="3"/>
      <c r="AI17" s="3"/>
      <c r="AJ17" s="3" t="s">
        <v>18</v>
      </c>
      <c r="AK17" s="3" t="s">
        <v>17</v>
      </c>
      <c r="AL17" s="3"/>
      <c r="AM17" s="3"/>
      <c r="AN17" s="3"/>
      <c r="AO17" s="3"/>
      <c r="AP17" s="3"/>
      <c r="AQ17" s="3" t="s">
        <v>17</v>
      </c>
      <c r="AR17" s="3">
        <f t="shared" si="0"/>
        <v>4</v>
      </c>
      <c r="AS17" s="3">
        <f t="shared" si="1"/>
        <v>1</v>
      </c>
      <c r="AT17" s="3">
        <f t="shared" si="2"/>
        <v>5</v>
      </c>
      <c r="AU17" s="4" t="s">
        <v>83</v>
      </c>
      <c r="AV17" s="6" t="s">
        <v>20</v>
      </c>
      <c r="AW17" s="6" t="s">
        <v>20</v>
      </c>
      <c r="AX17" s="6" t="s">
        <v>21</v>
      </c>
    </row>
    <row r="18" spans="1:50" ht="15" customHeight="1" x14ac:dyDescent="0.2">
      <c r="A18" s="3">
        <v>17</v>
      </c>
      <c r="B18" s="4" t="s">
        <v>13</v>
      </c>
      <c r="C18" s="4" t="s">
        <v>84</v>
      </c>
      <c r="D18" s="4" t="s">
        <v>85</v>
      </c>
      <c r="E18" s="4" t="s">
        <v>86</v>
      </c>
      <c r="F18" s="5">
        <v>170</v>
      </c>
      <c r="G18" s="3"/>
      <c r="H18" s="3"/>
      <c r="I18" s="3"/>
      <c r="J18" s="3"/>
      <c r="K18" s="3"/>
      <c r="L18" s="3"/>
      <c r="M18" s="3"/>
      <c r="N18" s="3"/>
      <c r="O18" s="3"/>
      <c r="P18" s="3"/>
      <c r="Q18" s="3"/>
      <c r="R18" s="3"/>
      <c r="S18" s="3"/>
      <c r="T18" s="3"/>
      <c r="U18" s="3"/>
      <c r="V18" s="3"/>
      <c r="W18" s="3"/>
      <c r="X18" s="3"/>
      <c r="Y18" s="3" t="s">
        <v>17</v>
      </c>
      <c r="Z18" s="3"/>
      <c r="AA18" s="3"/>
      <c r="AB18" s="3"/>
      <c r="AC18" s="3"/>
      <c r="AD18" s="3"/>
      <c r="AE18" s="3"/>
      <c r="AF18" s="3"/>
      <c r="AG18" s="3"/>
      <c r="AH18" s="3"/>
      <c r="AI18" s="3"/>
      <c r="AJ18" s="3"/>
      <c r="AK18" s="3" t="s">
        <v>17</v>
      </c>
      <c r="AL18" s="3"/>
      <c r="AM18" s="3"/>
      <c r="AN18" s="3"/>
      <c r="AO18" s="3"/>
      <c r="AP18" s="3"/>
      <c r="AQ18" s="3" t="s">
        <v>18</v>
      </c>
      <c r="AR18" s="3">
        <f t="shared" si="0"/>
        <v>2</v>
      </c>
      <c r="AS18" s="3">
        <f t="shared" si="1"/>
        <v>1</v>
      </c>
      <c r="AT18" s="3">
        <f t="shared" si="2"/>
        <v>3</v>
      </c>
      <c r="AU18" s="4" t="s">
        <v>87</v>
      </c>
      <c r="AV18" s="6" t="s">
        <v>20</v>
      </c>
      <c r="AW18" s="6" t="s">
        <v>20</v>
      </c>
      <c r="AX18" s="6" t="s">
        <v>21</v>
      </c>
    </row>
    <row r="19" spans="1:50" ht="15" customHeight="1" x14ac:dyDescent="0.2">
      <c r="A19" s="3">
        <v>18</v>
      </c>
      <c r="B19" s="4" t="s">
        <v>13</v>
      </c>
      <c r="C19" s="4" t="s">
        <v>88</v>
      </c>
      <c r="D19" s="4" t="s">
        <v>89</v>
      </c>
      <c r="E19" s="4" t="s">
        <v>90</v>
      </c>
      <c r="F19" s="5">
        <v>343</v>
      </c>
      <c r="G19" s="3"/>
      <c r="H19" s="3"/>
      <c r="I19" s="3"/>
      <c r="J19" s="3" t="s">
        <v>17</v>
      </c>
      <c r="K19" s="3"/>
      <c r="L19" s="3"/>
      <c r="M19" s="3"/>
      <c r="N19" s="3"/>
      <c r="O19" s="3"/>
      <c r="P19" s="3"/>
      <c r="Q19" s="3"/>
      <c r="R19" s="3"/>
      <c r="S19" s="3"/>
      <c r="T19" s="3"/>
      <c r="U19" s="3"/>
      <c r="V19" s="3"/>
      <c r="W19" s="3"/>
      <c r="X19" s="3"/>
      <c r="Y19" s="3" t="s">
        <v>17</v>
      </c>
      <c r="Z19" s="3"/>
      <c r="AA19" s="3"/>
      <c r="AB19" s="3"/>
      <c r="AC19" s="3"/>
      <c r="AD19" s="3"/>
      <c r="AE19" s="3"/>
      <c r="AF19" s="3"/>
      <c r="AG19" s="3"/>
      <c r="AH19" s="3"/>
      <c r="AI19" s="3"/>
      <c r="AJ19" s="3"/>
      <c r="AK19" s="3" t="s">
        <v>17</v>
      </c>
      <c r="AL19" s="3"/>
      <c r="AM19" s="3"/>
      <c r="AN19" s="3"/>
      <c r="AO19" s="3"/>
      <c r="AP19" s="3"/>
      <c r="AQ19" s="3" t="s">
        <v>17</v>
      </c>
      <c r="AR19" s="3">
        <f t="shared" si="0"/>
        <v>4</v>
      </c>
      <c r="AS19" s="3">
        <f t="shared" si="1"/>
        <v>0</v>
      </c>
      <c r="AT19" s="3">
        <f t="shared" si="2"/>
        <v>4</v>
      </c>
      <c r="AU19" s="4" t="s">
        <v>91</v>
      </c>
      <c r="AV19" s="6" t="s">
        <v>20</v>
      </c>
      <c r="AW19" s="6" t="s">
        <v>20</v>
      </c>
      <c r="AX19" s="6" t="s">
        <v>21</v>
      </c>
    </row>
    <row r="20" spans="1:50" ht="15" customHeight="1" x14ac:dyDescent="0.2">
      <c r="A20" s="3">
        <v>19</v>
      </c>
      <c r="B20" s="4" t="s">
        <v>13</v>
      </c>
      <c r="C20" s="4" t="s">
        <v>92</v>
      </c>
      <c r="D20" s="4" t="s">
        <v>93</v>
      </c>
      <c r="E20" s="4" t="s">
        <v>94</v>
      </c>
      <c r="F20" s="5">
        <v>14</v>
      </c>
      <c r="G20" s="3"/>
      <c r="H20" s="3"/>
      <c r="I20" s="3"/>
      <c r="J20" s="3"/>
      <c r="K20" s="3"/>
      <c r="L20" s="3"/>
      <c r="M20" s="3"/>
      <c r="N20" s="3"/>
      <c r="O20" s="3"/>
      <c r="P20" s="3"/>
      <c r="Q20" s="3"/>
      <c r="R20" s="3"/>
      <c r="S20" s="3"/>
      <c r="T20" s="3"/>
      <c r="U20" s="3"/>
      <c r="V20" s="3"/>
      <c r="W20" s="3"/>
      <c r="X20" s="3"/>
      <c r="Y20" s="3" t="s">
        <v>17</v>
      </c>
      <c r="Z20" s="3"/>
      <c r="AA20" s="3"/>
      <c r="AB20" s="3"/>
      <c r="AC20" s="3"/>
      <c r="AD20" s="3"/>
      <c r="AE20" s="3"/>
      <c r="AF20" s="3"/>
      <c r="AG20" s="3"/>
      <c r="AH20" s="3"/>
      <c r="AI20" s="3"/>
      <c r="AJ20" s="3"/>
      <c r="AK20" s="3" t="s">
        <v>18</v>
      </c>
      <c r="AL20" s="3"/>
      <c r="AM20" s="3"/>
      <c r="AN20" s="3"/>
      <c r="AO20" s="3"/>
      <c r="AP20" s="3"/>
      <c r="AQ20" s="3" t="s">
        <v>17</v>
      </c>
      <c r="AR20" s="3">
        <f t="shared" si="0"/>
        <v>2</v>
      </c>
      <c r="AS20" s="3">
        <f t="shared" si="1"/>
        <v>1</v>
      </c>
      <c r="AT20" s="3">
        <f t="shared" si="2"/>
        <v>3</v>
      </c>
      <c r="AU20" s="4" t="s">
        <v>95</v>
      </c>
      <c r="AV20" s="6" t="s">
        <v>20</v>
      </c>
      <c r="AW20" s="6" t="s">
        <v>20</v>
      </c>
      <c r="AX20" s="6" t="s">
        <v>21</v>
      </c>
    </row>
    <row r="21" spans="1:50" ht="15" customHeight="1" x14ac:dyDescent="0.2">
      <c r="A21" s="3">
        <v>20</v>
      </c>
      <c r="B21" s="4" t="s">
        <v>13</v>
      </c>
      <c r="C21" s="4" t="s">
        <v>96</v>
      </c>
      <c r="D21" s="4" t="s">
        <v>97</v>
      </c>
      <c r="E21" s="4" t="s">
        <v>98</v>
      </c>
      <c r="F21" s="5">
        <v>325</v>
      </c>
      <c r="G21" s="3"/>
      <c r="H21" s="3"/>
      <c r="I21" s="3"/>
      <c r="J21" s="3"/>
      <c r="K21" s="3"/>
      <c r="L21" s="3"/>
      <c r="M21" s="3"/>
      <c r="N21" s="3"/>
      <c r="O21" s="3"/>
      <c r="P21" s="3"/>
      <c r="Q21" s="3"/>
      <c r="R21" s="3"/>
      <c r="S21" s="3"/>
      <c r="T21" s="3"/>
      <c r="U21" s="3"/>
      <c r="V21" s="3"/>
      <c r="W21" s="3"/>
      <c r="X21" s="3"/>
      <c r="Y21" s="3" t="s">
        <v>17</v>
      </c>
      <c r="Z21" s="3"/>
      <c r="AA21" s="3" t="s">
        <v>17</v>
      </c>
      <c r="AB21" s="3"/>
      <c r="AC21" s="3"/>
      <c r="AD21" s="3"/>
      <c r="AE21" s="3"/>
      <c r="AF21" s="3"/>
      <c r="AG21" s="3"/>
      <c r="AH21" s="3"/>
      <c r="AI21" s="3"/>
      <c r="AJ21" s="3"/>
      <c r="AK21" s="3" t="s">
        <v>17</v>
      </c>
      <c r="AL21" s="3"/>
      <c r="AM21" s="3"/>
      <c r="AN21" s="3"/>
      <c r="AO21" s="3"/>
      <c r="AP21" s="3"/>
      <c r="AQ21" s="3" t="s">
        <v>17</v>
      </c>
      <c r="AR21" s="3">
        <f t="shared" si="0"/>
        <v>4</v>
      </c>
      <c r="AS21" s="3">
        <f t="shared" si="1"/>
        <v>0</v>
      </c>
      <c r="AT21" s="3">
        <f t="shared" si="2"/>
        <v>4</v>
      </c>
      <c r="AU21" s="4" t="s">
        <v>99</v>
      </c>
      <c r="AV21" s="6" t="s">
        <v>20</v>
      </c>
      <c r="AW21" s="6" t="s">
        <v>20</v>
      </c>
      <c r="AX21" s="6" t="s">
        <v>21</v>
      </c>
    </row>
    <row r="22" spans="1:50" ht="15" customHeight="1" x14ac:dyDescent="0.2">
      <c r="A22" s="3">
        <v>21</v>
      </c>
      <c r="B22" s="4" t="s">
        <v>13</v>
      </c>
      <c r="C22" s="4" t="s">
        <v>100</v>
      </c>
      <c r="D22" s="4" t="s">
        <v>101</v>
      </c>
      <c r="E22" s="4" t="s">
        <v>102</v>
      </c>
      <c r="F22" s="5">
        <v>90</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t="s">
        <v>17</v>
      </c>
      <c r="AL22" s="3"/>
      <c r="AM22" s="3"/>
      <c r="AN22" s="3"/>
      <c r="AO22" s="3"/>
      <c r="AP22" s="3"/>
      <c r="AQ22" s="3" t="s">
        <v>17</v>
      </c>
      <c r="AR22" s="3">
        <f t="shared" si="0"/>
        <v>2</v>
      </c>
      <c r="AS22" s="3">
        <f t="shared" si="1"/>
        <v>0</v>
      </c>
      <c r="AT22" s="3">
        <f t="shared" si="2"/>
        <v>2</v>
      </c>
      <c r="AU22" s="4" t="s">
        <v>103</v>
      </c>
      <c r="AV22" s="6" t="s">
        <v>20</v>
      </c>
      <c r="AW22" s="6" t="s">
        <v>20</v>
      </c>
      <c r="AX22" s="6" t="s">
        <v>21</v>
      </c>
    </row>
    <row r="23" spans="1:50" ht="15" customHeight="1" x14ac:dyDescent="0.2">
      <c r="A23" s="3">
        <v>22</v>
      </c>
      <c r="B23" s="4" t="s">
        <v>13</v>
      </c>
      <c r="C23" s="4" t="s">
        <v>104</v>
      </c>
      <c r="D23" s="4" t="s">
        <v>105</v>
      </c>
      <c r="E23" s="4" t="s">
        <v>106</v>
      </c>
      <c r="F23" s="5">
        <v>715</v>
      </c>
      <c r="G23" s="3"/>
      <c r="H23" s="3"/>
      <c r="I23" s="3"/>
      <c r="J23" s="3"/>
      <c r="K23" s="3"/>
      <c r="L23" s="3"/>
      <c r="M23" s="3"/>
      <c r="N23" s="3"/>
      <c r="O23" s="3"/>
      <c r="P23" s="3"/>
      <c r="Q23" s="3"/>
      <c r="R23" s="3"/>
      <c r="S23" s="3"/>
      <c r="T23" s="3"/>
      <c r="U23" s="3"/>
      <c r="V23" s="3"/>
      <c r="W23" s="3"/>
      <c r="X23" s="3"/>
      <c r="Y23" s="3" t="s">
        <v>18</v>
      </c>
      <c r="Z23" s="3"/>
      <c r="AA23" s="3"/>
      <c r="AB23" s="3"/>
      <c r="AC23" s="3"/>
      <c r="AD23" s="3"/>
      <c r="AE23" s="3"/>
      <c r="AF23" s="3"/>
      <c r="AG23" s="3"/>
      <c r="AH23" s="3"/>
      <c r="AI23" s="3"/>
      <c r="AJ23" s="3"/>
      <c r="AK23" s="3" t="s">
        <v>17</v>
      </c>
      <c r="AL23" s="3"/>
      <c r="AM23" s="3"/>
      <c r="AN23" s="3"/>
      <c r="AO23" s="3"/>
      <c r="AP23" s="3"/>
      <c r="AQ23" s="3" t="s">
        <v>17</v>
      </c>
      <c r="AR23" s="3">
        <f t="shared" si="0"/>
        <v>2</v>
      </c>
      <c r="AS23" s="3">
        <f t="shared" si="1"/>
        <v>1</v>
      </c>
      <c r="AT23" s="3">
        <f t="shared" si="2"/>
        <v>3</v>
      </c>
      <c r="AU23" s="4" t="s">
        <v>107</v>
      </c>
      <c r="AV23" s="6" t="s">
        <v>20</v>
      </c>
      <c r="AW23" s="6" t="s">
        <v>20</v>
      </c>
      <c r="AX23" s="6" t="s">
        <v>21</v>
      </c>
    </row>
    <row r="24" spans="1:50" ht="15" customHeight="1" x14ac:dyDescent="0.2">
      <c r="A24" s="3">
        <v>23</v>
      </c>
      <c r="B24" s="4" t="s">
        <v>13</v>
      </c>
      <c r="C24" s="4" t="s">
        <v>108</v>
      </c>
      <c r="D24" s="4" t="s">
        <v>109</v>
      </c>
      <c r="E24" s="4" t="s">
        <v>110</v>
      </c>
      <c r="F24" s="5">
        <v>899</v>
      </c>
      <c r="G24" s="3"/>
      <c r="H24" s="3"/>
      <c r="I24" s="3"/>
      <c r="J24" s="3"/>
      <c r="K24" s="3"/>
      <c r="L24" s="3"/>
      <c r="M24" s="3"/>
      <c r="N24" s="3"/>
      <c r="O24" s="3"/>
      <c r="P24" s="3"/>
      <c r="Q24" s="3"/>
      <c r="R24" s="3"/>
      <c r="S24" s="3"/>
      <c r="T24" s="3"/>
      <c r="U24" s="3"/>
      <c r="V24" s="3"/>
      <c r="W24" s="3"/>
      <c r="X24" s="3"/>
      <c r="Y24" s="3" t="s">
        <v>17</v>
      </c>
      <c r="Z24" s="3"/>
      <c r="AA24" s="3"/>
      <c r="AB24" s="3"/>
      <c r="AC24" s="3"/>
      <c r="AD24" s="3"/>
      <c r="AE24" s="3"/>
      <c r="AF24" s="3"/>
      <c r="AG24" s="3"/>
      <c r="AH24" s="3"/>
      <c r="AI24" s="3"/>
      <c r="AJ24" s="3"/>
      <c r="AK24" s="3" t="s">
        <v>17</v>
      </c>
      <c r="AL24" s="3"/>
      <c r="AM24" s="3"/>
      <c r="AN24" s="3"/>
      <c r="AO24" s="3"/>
      <c r="AP24" s="3"/>
      <c r="AQ24" s="3" t="s">
        <v>17</v>
      </c>
      <c r="AR24" s="3">
        <f t="shared" si="0"/>
        <v>3</v>
      </c>
      <c r="AS24" s="3">
        <f t="shared" si="1"/>
        <v>0</v>
      </c>
      <c r="AT24" s="3">
        <f t="shared" si="2"/>
        <v>3</v>
      </c>
      <c r="AU24" s="4" t="s">
        <v>111</v>
      </c>
      <c r="AV24" s="6" t="s">
        <v>20</v>
      </c>
      <c r="AW24" s="6" t="s">
        <v>20</v>
      </c>
      <c r="AX24" s="6" t="s">
        <v>21</v>
      </c>
    </row>
    <row r="25" spans="1:50" ht="15" customHeight="1" x14ac:dyDescent="0.2">
      <c r="A25" s="3">
        <v>24</v>
      </c>
      <c r="B25" s="4" t="s">
        <v>13</v>
      </c>
      <c r="C25" s="4" t="s">
        <v>112</v>
      </c>
      <c r="D25" s="4" t="s">
        <v>113</v>
      </c>
      <c r="E25" s="4" t="s">
        <v>114</v>
      </c>
      <c r="F25" s="5">
        <v>43</v>
      </c>
      <c r="G25" s="3"/>
      <c r="H25" s="3"/>
      <c r="I25" s="3"/>
      <c r="J25" s="3"/>
      <c r="K25" s="3"/>
      <c r="L25" s="3"/>
      <c r="M25" s="3"/>
      <c r="N25" s="3"/>
      <c r="O25" s="3"/>
      <c r="P25" s="3"/>
      <c r="Q25" s="3"/>
      <c r="R25" s="3"/>
      <c r="S25" s="3"/>
      <c r="T25" s="3"/>
      <c r="U25" s="3"/>
      <c r="V25" s="3"/>
      <c r="W25" s="3"/>
      <c r="X25" s="3"/>
      <c r="Y25" s="3" t="s">
        <v>17</v>
      </c>
      <c r="Z25" s="3"/>
      <c r="AA25" s="3"/>
      <c r="AB25" s="3"/>
      <c r="AC25" s="3"/>
      <c r="AD25" s="3"/>
      <c r="AE25" s="3"/>
      <c r="AF25" s="3"/>
      <c r="AG25" s="3"/>
      <c r="AH25" s="3"/>
      <c r="AI25" s="3" t="s">
        <v>18</v>
      </c>
      <c r="AJ25" s="3"/>
      <c r="AK25" s="3" t="s">
        <v>17</v>
      </c>
      <c r="AL25" s="3"/>
      <c r="AM25" s="3"/>
      <c r="AN25" s="3"/>
      <c r="AO25" s="3"/>
      <c r="AP25" s="3"/>
      <c r="AQ25" s="3"/>
      <c r="AR25" s="3">
        <f t="shared" si="0"/>
        <v>2</v>
      </c>
      <c r="AS25" s="3">
        <f t="shared" si="1"/>
        <v>1</v>
      </c>
      <c r="AT25" s="3">
        <f t="shared" si="2"/>
        <v>3</v>
      </c>
      <c r="AU25" s="4" t="s">
        <v>115</v>
      </c>
      <c r="AV25" s="6" t="s">
        <v>20</v>
      </c>
      <c r="AW25" s="6" t="s">
        <v>20</v>
      </c>
      <c r="AX25" s="6" t="s">
        <v>21</v>
      </c>
    </row>
    <row r="26" spans="1:50" ht="15" customHeight="1" x14ac:dyDescent="0.2">
      <c r="A26" s="3">
        <v>25</v>
      </c>
      <c r="B26" s="4" t="s">
        <v>13</v>
      </c>
      <c r="C26" s="4" t="s">
        <v>116</v>
      </c>
      <c r="D26" s="4" t="s">
        <v>117</v>
      </c>
      <c r="E26" s="4" t="s">
        <v>118</v>
      </c>
      <c r="F26" s="5">
        <v>993</v>
      </c>
      <c r="G26" s="3" t="s">
        <v>18</v>
      </c>
      <c r="H26" s="3"/>
      <c r="I26" s="3"/>
      <c r="J26" s="3" t="s">
        <v>18</v>
      </c>
      <c r="K26" s="3" t="s">
        <v>18</v>
      </c>
      <c r="L26" s="3"/>
      <c r="M26" s="3" t="s">
        <v>18</v>
      </c>
      <c r="N26" s="3"/>
      <c r="O26" s="3" t="s">
        <v>18</v>
      </c>
      <c r="P26" s="3"/>
      <c r="Q26" s="3"/>
      <c r="R26" s="3"/>
      <c r="S26" s="3"/>
      <c r="T26" s="3"/>
      <c r="U26" s="3"/>
      <c r="V26" s="3"/>
      <c r="W26" s="3"/>
      <c r="X26" s="3"/>
      <c r="Y26" s="3" t="s">
        <v>17</v>
      </c>
      <c r="Z26" s="3"/>
      <c r="AA26" s="3"/>
      <c r="AB26" s="3" t="s">
        <v>18</v>
      </c>
      <c r="AC26" s="3"/>
      <c r="AD26" s="3"/>
      <c r="AE26" s="3" t="s">
        <v>18</v>
      </c>
      <c r="AF26" s="3" t="s">
        <v>18</v>
      </c>
      <c r="AG26" s="3" t="s">
        <v>18</v>
      </c>
      <c r="AH26" s="3" t="s">
        <v>17</v>
      </c>
      <c r="AI26" s="3" t="s">
        <v>18</v>
      </c>
      <c r="AJ26" s="3" t="s">
        <v>18</v>
      </c>
      <c r="AK26" s="3" t="s">
        <v>18</v>
      </c>
      <c r="AL26" s="3"/>
      <c r="AM26" s="3"/>
      <c r="AN26" s="3"/>
      <c r="AO26" s="3"/>
      <c r="AP26" s="3"/>
      <c r="AQ26" s="3" t="s">
        <v>17</v>
      </c>
      <c r="AR26" s="3">
        <f t="shared" si="0"/>
        <v>3</v>
      </c>
      <c r="AS26" s="3">
        <f t="shared" si="1"/>
        <v>12</v>
      </c>
      <c r="AT26" s="3">
        <f t="shared" si="2"/>
        <v>15</v>
      </c>
      <c r="AU26" s="4" t="s">
        <v>119</v>
      </c>
      <c r="AV26" s="6" t="s">
        <v>20</v>
      </c>
      <c r="AW26" s="6" t="s">
        <v>120</v>
      </c>
      <c r="AX26" s="6" t="s">
        <v>31</v>
      </c>
    </row>
    <row r="27" spans="1:50" ht="15" customHeight="1" x14ac:dyDescent="0.2">
      <c r="A27" s="3">
        <v>26</v>
      </c>
      <c r="B27" s="4" t="s">
        <v>13</v>
      </c>
      <c r="C27" s="4" t="s">
        <v>121</v>
      </c>
      <c r="D27" s="4" t="s">
        <v>122</v>
      </c>
      <c r="E27" s="4" t="s">
        <v>123</v>
      </c>
      <c r="F27" s="5">
        <v>230</v>
      </c>
      <c r="G27" s="3"/>
      <c r="H27" s="3"/>
      <c r="I27" s="3"/>
      <c r="J27" s="3"/>
      <c r="K27" s="3"/>
      <c r="L27" s="3"/>
      <c r="M27" s="3"/>
      <c r="N27" s="3"/>
      <c r="O27" s="3"/>
      <c r="P27" s="3"/>
      <c r="Q27" s="3"/>
      <c r="R27" s="3"/>
      <c r="S27" s="3"/>
      <c r="T27" s="3"/>
      <c r="U27" s="3"/>
      <c r="V27" s="3"/>
      <c r="W27" s="3"/>
      <c r="X27" s="3"/>
      <c r="Y27" s="3" t="s">
        <v>17</v>
      </c>
      <c r="Z27" s="3"/>
      <c r="AA27" s="3"/>
      <c r="AB27" s="3"/>
      <c r="AC27" s="3"/>
      <c r="AD27" s="3"/>
      <c r="AE27" s="3"/>
      <c r="AF27" s="3"/>
      <c r="AG27" s="3"/>
      <c r="AH27" s="3"/>
      <c r="AI27" s="3"/>
      <c r="AJ27" s="3"/>
      <c r="AK27" s="3" t="s">
        <v>17</v>
      </c>
      <c r="AL27" s="3"/>
      <c r="AM27" s="3"/>
      <c r="AN27" s="3"/>
      <c r="AO27" s="3"/>
      <c r="AP27" s="3"/>
      <c r="AQ27" s="3" t="s">
        <v>17</v>
      </c>
      <c r="AR27" s="3">
        <f t="shared" si="0"/>
        <v>3</v>
      </c>
      <c r="AS27" s="3">
        <f t="shared" si="1"/>
        <v>0</v>
      </c>
      <c r="AT27" s="3">
        <f t="shared" si="2"/>
        <v>3</v>
      </c>
      <c r="AU27" s="4" t="s">
        <v>124</v>
      </c>
      <c r="AV27" s="6" t="s">
        <v>20</v>
      </c>
      <c r="AW27" s="6" t="s">
        <v>20</v>
      </c>
      <c r="AX27" s="6" t="s">
        <v>21</v>
      </c>
    </row>
    <row r="28" spans="1:50" ht="15" customHeight="1" x14ac:dyDescent="0.2">
      <c r="A28" s="3">
        <v>27</v>
      </c>
      <c r="B28" s="4" t="s">
        <v>13</v>
      </c>
      <c r="C28" s="4" t="s">
        <v>125</v>
      </c>
      <c r="D28" s="4" t="s">
        <v>126</v>
      </c>
      <c r="E28" s="4" t="s">
        <v>127</v>
      </c>
      <c r="F28" s="5">
        <v>72</v>
      </c>
      <c r="G28" s="3"/>
      <c r="H28" s="3"/>
      <c r="I28" s="3"/>
      <c r="J28" s="3"/>
      <c r="K28" s="3"/>
      <c r="L28" s="3"/>
      <c r="M28" s="3"/>
      <c r="N28" s="3"/>
      <c r="O28" s="3"/>
      <c r="P28" s="3"/>
      <c r="Q28" s="3"/>
      <c r="R28" s="3"/>
      <c r="S28" s="3"/>
      <c r="T28" s="3"/>
      <c r="U28" s="3"/>
      <c r="V28" s="3"/>
      <c r="W28" s="3"/>
      <c r="X28" s="3" t="s">
        <v>18</v>
      </c>
      <c r="Y28" s="3" t="s">
        <v>17</v>
      </c>
      <c r="Z28" s="3" t="s">
        <v>18</v>
      </c>
      <c r="AA28" s="3" t="s">
        <v>18</v>
      </c>
      <c r="AB28" s="3" t="s">
        <v>18</v>
      </c>
      <c r="AC28" s="3"/>
      <c r="AD28" s="3"/>
      <c r="AE28" s="3" t="s">
        <v>18</v>
      </c>
      <c r="AF28" s="3"/>
      <c r="AG28" s="3"/>
      <c r="AH28" s="3"/>
      <c r="AI28" s="3" t="s">
        <v>17</v>
      </c>
      <c r="AJ28" s="3"/>
      <c r="AK28" s="3"/>
      <c r="AL28" s="3"/>
      <c r="AM28" s="3"/>
      <c r="AN28" s="3"/>
      <c r="AO28" s="3"/>
      <c r="AP28" s="3"/>
      <c r="AQ28" s="3"/>
      <c r="AR28" s="3">
        <f t="shared" si="0"/>
        <v>2</v>
      </c>
      <c r="AS28" s="3">
        <f t="shared" si="1"/>
        <v>5</v>
      </c>
      <c r="AT28" s="3">
        <f t="shared" si="2"/>
        <v>7</v>
      </c>
      <c r="AU28" s="4" t="s">
        <v>128</v>
      </c>
      <c r="AV28" s="6" t="s">
        <v>20</v>
      </c>
      <c r="AW28" s="6" t="s">
        <v>20</v>
      </c>
      <c r="AX28" s="6" t="s">
        <v>21</v>
      </c>
    </row>
    <row r="29" spans="1:50" ht="15" customHeight="1" x14ac:dyDescent="0.2">
      <c r="A29" s="3">
        <v>28</v>
      </c>
      <c r="B29" s="4" t="s">
        <v>13</v>
      </c>
      <c r="C29" s="4" t="s">
        <v>129</v>
      </c>
      <c r="D29" s="4" t="s">
        <v>130</v>
      </c>
      <c r="E29" s="4" t="s">
        <v>102</v>
      </c>
      <c r="F29" s="5">
        <v>7690</v>
      </c>
      <c r="G29" s="3"/>
      <c r="H29" s="3" t="s">
        <v>18</v>
      </c>
      <c r="I29" s="3"/>
      <c r="J29" s="3"/>
      <c r="K29" s="3"/>
      <c r="L29" s="3"/>
      <c r="M29" s="3"/>
      <c r="N29" s="3"/>
      <c r="O29" s="3"/>
      <c r="P29" s="3"/>
      <c r="Q29" s="3"/>
      <c r="R29" s="3"/>
      <c r="S29" s="3"/>
      <c r="T29" s="3"/>
      <c r="U29" s="3"/>
      <c r="V29" s="3" t="s">
        <v>18</v>
      </c>
      <c r="W29" s="3"/>
      <c r="X29" s="3" t="s">
        <v>18</v>
      </c>
      <c r="Y29" s="3" t="s">
        <v>17</v>
      </c>
      <c r="Z29" s="3" t="s">
        <v>18</v>
      </c>
      <c r="AA29" s="3" t="s">
        <v>18</v>
      </c>
      <c r="AB29" s="3"/>
      <c r="AC29" s="3"/>
      <c r="AD29" s="3"/>
      <c r="AE29" s="3"/>
      <c r="AF29" s="3" t="s">
        <v>18</v>
      </c>
      <c r="AG29" s="3"/>
      <c r="AH29" s="3"/>
      <c r="AI29" s="3" t="s">
        <v>18</v>
      </c>
      <c r="AJ29" s="3"/>
      <c r="AK29" s="3" t="s">
        <v>17</v>
      </c>
      <c r="AL29" s="3"/>
      <c r="AM29" s="3"/>
      <c r="AN29" s="3"/>
      <c r="AO29" s="3" t="s">
        <v>18</v>
      </c>
      <c r="AP29" s="3" t="s">
        <v>18</v>
      </c>
      <c r="AQ29" s="3" t="s">
        <v>17</v>
      </c>
      <c r="AR29" s="3">
        <f t="shared" si="0"/>
        <v>3</v>
      </c>
      <c r="AS29" s="3">
        <f t="shared" si="1"/>
        <v>9</v>
      </c>
      <c r="AT29" s="3">
        <f t="shared" si="2"/>
        <v>12</v>
      </c>
      <c r="AU29" s="4" t="s">
        <v>131</v>
      </c>
      <c r="AV29" s="6" t="s">
        <v>20</v>
      </c>
      <c r="AW29" s="6" t="s">
        <v>20</v>
      </c>
      <c r="AX29" s="6" t="s">
        <v>21</v>
      </c>
    </row>
    <row r="30" spans="1:50" ht="15" customHeight="1" x14ac:dyDescent="0.2">
      <c r="A30" s="3">
        <v>29</v>
      </c>
      <c r="B30" s="4" t="s">
        <v>13</v>
      </c>
      <c r="C30" s="4" t="s">
        <v>132</v>
      </c>
      <c r="D30" s="4" t="s">
        <v>133</v>
      </c>
      <c r="E30" s="4" t="s">
        <v>134</v>
      </c>
      <c r="F30" s="5">
        <v>2835</v>
      </c>
      <c r="G30" s="3"/>
      <c r="H30" s="3"/>
      <c r="I30" s="3"/>
      <c r="J30" s="3"/>
      <c r="K30" s="3"/>
      <c r="L30" s="3"/>
      <c r="M30" s="3"/>
      <c r="N30" s="3"/>
      <c r="O30" s="3"/>
      <c r="P30" s="3"/>
      <c r="Q30" s="3"/>
      <c r="R30" s="3"/>
      <c r="S30" s="3"/>
      <c r="T30" s="3"/>
      <c r="U30" s="3"/>
      <c r="V30" s="3"/>
      <c r="W30" s="3"/>
      <c r="X30" s="3"/>
      <c r="Y30" s="3"/>
      <c r="Z30" s="3"/>
      <c r="AA30" s="3" t="s">
        <v>17</v>
      </c>
      <c r="AB30" s="3"/>
      <c r="AC30" s="3"/>
      <c r="AD30" s="3"/>
      <c r="AE30" s="3"/>
      <c r="AF30" s="3"/>
      <c r="AG30" s="3"/>
      <c r="AH30" s="3"/>
      <c r="AI30" s="3"/>
      <c r="AJ30" s="3"/>
      <c r="AK30" s="3"/>
      <c r="AL30" s="3" t="s">
        <v>18</v>
      </c>
      <c r="AM30" s="3" t="s">
        <v>17</v>
      </c>
      <c r="AN30" s="3"/>
      <c r="AO30" s="3"/>
      <c r="AP30" s="3" t="s">
        <v>17</v>
      </c>
      <c r="AQ30" s="3" t="s">
        <v>18</v>
      </c>
      <c r="AR30" s="3">
        <f t="shared" si="0"/>
        <v>3</v>
      </c>
      <c r="AS30" s="3">
        <f t="shared" si="1"/>
        <v>2</v>
      </c>
      <c r="AT30" s="3">
        <f t="shared" si="2"/>
        <v>5</v>
      </c>
      <c r="AU30" s="4" t="s">
        <v>135</v>
      </c>
      <c r="AV30" s="6" t="s">
        <v>20</v>
      </c>
      <c r="AW30" s="6" t="s">
        <v>20</v>
      </c>
      <c r="AX30" s="6" t="s">
        <v>21</v>
      </c>
    </row>
    <row r="31" spans="1:50" ht="15" customHeight="1" x14ac:dyDescent="0.2">
      <c r="A31" s="3">
        <v>30</v>
      </c>
      <c r="B31" s="4" t="s">
        <v>13</v>
      </c>
      <c r="C31" s="4" t="s">
        <v>136</v>
      </c>
      <c r="D31" s="4" t="s">
        <v>137</v>
      </c>
      <c r="E31" s="4" t="s">
        <v>138</v>
      </c>
      <c r="F31" s="5">
        <v>191</v>
      </c>
      <c r="G31" s="3"/>
      <c r="H31" s="3"/>
      <c r="I31" s="3"/>
      <c r="J31" s="3"/>
      <c r="K31" s="3"/>
      <c r="L31" s="3"/>
      <c r="M31" s="3" t="s">
        <v>18</v>
      </c>
      <c r="N31" s="3" t="s">
        <v>17</v>
      </c>
      <c r="O31" s="3" t="s">
        <v>17</v>
      </c>
      <c r="P31" s="3"/>
      <c r="Q31" s="3"/>
      <c r="R31" s="3"/>
      <c r="S31" s="3"/>
      <c r="T31" s="3"/>
      <c r="U31" s="3"/>
      <c r="V31" s="3"/>
      <c r="W31" s="3"/>
      <c r="X31" s="3"/>
      <c r="Y31" s="3" t="s">
        <v>17</v>
      </c>
      <c r="Z31" s="3"/>
      <c r="AA31" s="3"/>
      <c r="AB31" s="3"/>
      <c r="AC31" s="3"/>
      <c r="AD31" s="3"/>
      <c r="AE31" s="3"/>
      <c r="AF31" s="3"/>
      <c r="AG31" s="3"/>
      <c r="AH31" s="3" t="s">
        <v>17</v>
      </c>
      <c r="AI31" s="3" t="s">
        <v>17</v>
      </c>
      <c r="AJ31" s="3" t="s">
        <v>18</v>
      </c>
      <c r="AK31" s="3"/>
      <c r="AL31" s="3"/>
      <c r="AM31" s="3"/>
      <c r="AN31" s="3"/>
      <c r="AO31" s="3" t="s">
        <v>18</v>
      </c>
      <c r="AP31" s="3"/>
      <c r="AQ31" s="3" t="s">
        <v>17</v>
      </c>
      <c r="AR31" s="3">
        <f t="shared" si="0"/>
        <v>6</v>
      </c>
      <c r="AS31" s="3">
        <f t="shared" si="1"/>
        <v>3</v>
      </c>
      <c r="AT31" s="3">
        <f t="shared" si="2"/>
        <v>9</v>
      </c>
      <c r="AU31" s="4" t="s">
        <v>139</v>
      </c>
      <c r="AV31" s="6" t="s">
        <v>20</v>
      </c>
      <c r="AW31" s="6" t="s">
        <v>20</v>
      </c>
      <c r="AX31" s="6" t="s">
        <v>21</v>
      </c>
    </row>
    <row r="32" spans="1:50" ht="15" customHeight="1" x14ac:dyDescent="0.2">
      <c r="A32" s="3">
        <v>31</v>
      </c>
      <c r="B32" s="4" t="s">
        <v>13</v>
      </c>
      <c r="C32" s="4" t="s">
        <v>140</v>
      </c>
      <c r="D32" s="4" t="s">
        <v>141</v>
      </c>
      <c r="E32" s="4" t="s">
        <v>142</v>
      </c>
      <c r="F32" s="5">
        <v>186</v>
      </c>
      <c r="G32" s="3"/>
      <c r="H32" s="3"/>
      <c r="I32" s="3"/>
      <c r="J32" s="3"/>
      <c r="K32" s="3"/>
      <c r="L32" s="3"/>
      <c r="M32" s="3"/>
      <c r="N32" s="3"/>
      <c r="O32" s="3"/>
      <c r="P32" s="3"/>
      <c r="Q32" s="3"/>
      <c r="R32" s="3" t="s">
        <v>17</v>
      </c>
      <c r="S32" s="3"/>
      <c r="T32" s="3"/>
      <c r="U32" s="3"/>
      <c r="V32" s="3" t="s">
        <v>17</v>
      </c>
      <c r="W32" s="3"/>
      <c r="X32" s="3"/>
      <c r="Y32" s="3" t="s">
        <v>17</v>
      </c>
      <c r="Z32" s="3"/>
      <c r="AA32" s="3"/>
      <c r="AB32" s="3"/>
      <c r="AC32" s="3"/>
      <c r="AD32" s="3" t="s">
        <v>17</v>
      </c>
      <c r="AE32" s="3"/>
      <c r="AF32" s="3"/>
      <c r="AG32" s="3"/>
      <c r="AH32" s="3"/>
      <c r="AI32" s="3"/>
      <c r="AJ32" s="3"/>
      <c r="AK32" s="3" t="s">
        <v>17</v>
      </c>
      <c r="AL32" s="3"/>
      <c r="AM32" s="3"/>
      <c r="AN32" s="3"/>
      <c r="AO32" s="3"/>
      <c r="AP32" s="3"/>
      <c r="AQ32" s="3" t="s">
        <v>17</v>
      </c>
      <c r="AR32" s="3">
        <f t="shared" si="0"/>
        <v>6</v>
      </c>
      <c r="AS32" s="3">
        <f t="shared" si="1"/>
        <v>0</v>
      </c>
      <c r="AT32" s="3">
        <f t="shared" si="2"/>
        <v>6</v>
      </c>
      <c r="AU32" s="4" t="s">
        <v>143</v>
      </c>
      <c r="AV32" s="6" t="s">
        <v>20</v>
      </c>
      <c r="AW32" s="6" t="s">
        <v>20</v>
      </c>
      <c r="AX32" s="6" t="s">
        <v>21</v>
      </c>
    </row>
    <row r="33" spans="1:50" ht="15" customHeight="1" x14ac:dyDescent="0.2">
      <c r="A33" s="3">
        <v>32</v>
      </c>
      <c r="B33" s="4" t="s">
        <v>13</v>
      </c>
      <c r="C33" s="4" t="s">
        <v>144</v>
      </c>
      <c r="D33" s="4" t="s">
        <v>145</v>
      </c>
      <c r="E33" s="4" t="s">
        <v>146</v>
      </c>
      <c r="F33" s="5">
        <v>17</v>
      </c>
      <c r="G33" s="3"/>
      <c r="H33" s="3"/>
      <c r="I33" s="3"/>
      <c r="J33" s="3"/>
      <c r="K33" s="3"/>
      <c r="L33" s="3"/>
      <c r="M33" s="3"/>
      <c r="N33" s="3"/>
      <c r="O33" s="3"/>
      <c r="P33" s="3"/>
      <c r="Q33" s="3"/>
      <c r="R33" s="3"/>
      <c r="S33" s="3"/>
      <c r="T33" s="3"/>
      <c r="U33" s="3"/>
      <c r="V33" s="3"/>
      <c r="W33" s="3"/>
      <c r="X33" s="3"/>
      <c r="Y33" s="3" t="s">
        <v>17</v>
      </c>
      <c r="Z33" s="3"/>
      <c r="AA33" s="3"/>
      <c r="AB33" s="3"/>
      <c r="AC33" s="3"/>
      <c r="AD33" s="3"/>
      <c r="AE33" s="3"/>
      <c r="AF33" s="3" t="s">
        <v>17</v>
      </c>
      <c r="AG33" s="3"/>
      <c r="AH33" s="3"/>
      <c r="AI33" s="3"/>
      <c r="AJ33" s="3"/>
      <c r="AK33" s="3" t="s">
        <v>17</v>
      </c>
      <c r="AL33" s="3"/>
      <c r="AM33" s="3"/>
      <c r="AN33" s="3"/>
      <c r="AO33" s="3"/>
      <c r="AP33" s="3"/>
      <c r="AQ33" s="3" t="s">
        <v>17</v>
      </c>
      <c r="AR33" s="3">
        <f t="shared" si="0"/>
        <v>4</v>
      </c>
      <c r="AS33" s="3">
        <f t="shared" si="1"/>
        <v>0</v>
      </c>
      <c r="AT33" s="3">
        <f t="shared" si="2"/>
        <v>4</v>
      </c>
      <c r="AU33" s="4" t="s">
        <v>147</v>
      </c>
      <c r="AV33" s="6" t="s">
        <v>20</v>
      </c>
      <c r="AW33" s="6" t="s">
        <v>20</v>
      </c>
      <c r="AX33" s="6" t="s">
        <v>21</v>
      </c>
    </row>
    <row r="34" spans="1:50" ht="15" customHeight="1" x14ac:dyDescent="0.2">
      <c r="A34" s="3">
        <v>33</v>
      </c>
      <c r="B34" s="4" t="s">
        <v>148</v>
      </c>
      <c r="C34" s="4" t="s">
        <v>149</v>
      </c>
      <c r="D34" s="4" t="s">
        <v>150</v>
      </c>
      <c r="E34" s="4" t="s">
        <v>151</v>
      </c>
      <c r="F34" s="5">
        <v>70</v>
      </c>
      <c r="G34" s="3"/>
      <c r="H34" s="3"/>
      <c r="I34" s="3"/>
      <c r="J34" s="3"/>
      <c r="K34" s="3"/>
      <c r="L34" s="3"/>
      <c r="M34" s="3"/>
      <c r="N34" s="3"/>
      <c r="O34" s="3"/>
      <c r="P34" s="3"/>
      <c r="Q34" s="3"/>
      <c r="R34" s="3"/>
      <c r="S34" s="3"/>
      <c r="T34" s="3"/>
      <c r="U34" s="3"/>
      <c r="V34" s="3"/>
      <c r="W34" s="3"/>
      <c r="X34" s="3"/>
      <c r="Y34" s="3" t="s">
        <v>18</v>
      </c>
      <c r="Z34" s="3"/>
      <c r="AA34" s="3"/>
      <c r="AB34" s="3"/>
      <c r="AC34" s="3"/>
      <c r="AD34" s="3" t="s">
        <v>18</v>
      </c>
      <c r="AE34" s="3"/>
      <c r="AF34" s="3"/>
      <c r="AG34" s="3"/>
      <c r="AH34" s="3"/>
      <c r="AI34" s="3"/>
      <c r="AJ34" s="3"/>
      <c r="AK34" s="3" t="s">
        <v>18</v>
      </c>
      <c r="AL34" s="3"/>
      <c r="AM34" s="3"/>
      <c r="AN34" s="3"/>
      <c r="AO34" s="3"/>
      <c r="AP34" s="3"/>
      <c r="AQ34" s="3" t="s">
        <v>18</v>
      </c>
      <c r="AR34" s="3">
        <f t="shared" ref="AR34:AR65" si="3">COUNTIF(G34:AQ34,"S")</f>
        <v>0</v>
      </c>
      <c r="AS34" s="3">
        <f t="shared" ref="AS34:AS65" si="4">COUNTIF(G34:AQ34,"M")</f>
        <v>4</v>
      </c>
      <c r="AT34" s="3">
        <f t="shared" ref="AT34:AT65" si="5">AR34+AS34</f>
        <v>4</v>
      </c>
      <c r="AU34" s="4" t="s">
        <v>152</v>
      </c>
      <c r="AV34" s="6" t="s">
        <v>20</v>
      </c>
      <c r="AW34" s="6" t="s">
        <v>20</v>
      </c>
      <c r="AX34" s="6" t="s">
        <v>21</v>
      </c>
    </row>
    <row r="35" spans="1:50" ht="15" customHeight="1" x14ac:dyDescent="0.2">
      <c r="A35" s="3">
        <v>34</v>
      </c>
      <c r="B35" s="4" t="s">
        <v>148</v>
      </c>
      <c r="C35" s="4" t="s">
        <v>153</v>
      </c>
      <c r="D35" s="4" t="s">
        <v>154</v>
      </c>
      <c r="E35" s="4" t="s">
        <v>155</v>
      </c>
      <c r="F35" s="5">
        <v>5</v>
      </c>
      <c r="G35" s="3"/>
      <c r="H35" s="3"/>
      <c r="I35" s="3"/>
      <c r="J35" s="3" t="s">
        <v>17</v>
      </c>
      <c r="K35" s="3"/>
      <c r="L35" s="3"/>
      <c r="M35" s="3"/>
      <c r="N35" s="3"/>
      <c r="O35" s="3"/>
      <c r="P35" s="3"/>
      <c r="Q35" s="3"/>
      <c r="R35" s="3"/>
      <c r="S35" s="3"/>
      <c r="T35" s="3"/>
      <c r="U35" s="3"/>
      <c r="V35" s="3"/>
      <c r="W35" s="3"/>
      <c r="X35" s="3"/>
      <c r="Y35" s="3" t="s">
        <v>17</v>
      </c>
      <c r="Z35" s="3"/>
      <c r="AA35" s="3"/>
      <c r="AB35" s="3"/>
      <c r="AC35" s="3"/>
      <c r="AD35" s="3"/>
      <c r="AE35" s="3"/>
      <c r="AF35" s="3" t="s">
        <v>18</v>
      </c>
      <c r="AG35" s="3"/>
      <c r="AH35" s="3"/>
      <c r="AI35" s="3"/>
      <c r="AJ35" s="3"/>
      <c r="AK35" s="3"/>
      <c r="AL35" s="3" t="s">
        <v>18</v>
      </c>
      <c r="AM35" s="3"/>
      <c r="AN35" s="3"/>
      <c r="AO35" s="3"/>
      <c r="AP35" s="3"/>
      <c r="AQ35" s="3" t="s">
        <v>17</v>
      </c>
      <c r="AR35" s="3">
        <f t="shared" si="3"/>
        <v>3</v>
      </c>
      <c r="AS35" s="3">
        <f t="shared" si="4"/>
        <v>2</v>
      </c>
      <c r="AT35" s="3">
        <f t="shared" si="5"/>
        <v>5</v>
      </c>
      <c r="AU35" s="4" t="s">
        <v>156</v>
      </c>
      <c r="AV35" s="6" t="s">
        <v>20</v>
      </c>
      <c r="AW35" s="6" t="s">
        <v>20</v>
      </c>
      <c r="AX35" s="6" t="s">
        <v>21</v>
      </c>
    </row>
    <row r="36" spans="1:50" ht="15" customHeight="1" x14ac:dyDescent="0.2">
      <c r="A36" s="3">
        <v>35</v>
      </c>
      <c r="B36" s="4" t="s">
        <v>148</v>
      </c>
      <c r="C36" s="4" t="s">
        <v>157</v>
      </c>
      <c r="D36" s="4" t="s">
        <v>158</v>
      </c>
      <c r="E36" s="4" t="s">
        <v>159</v>
      </c>
      <c r="F36" s="5">
        <v>518</v>
      </c>
      <c r="G36" s="3"/>
      <c r="H36" s="3"/>
      <c r="I36" s="3"/>
      <c r="J36" s="3"/>
      <c r="K36" s="3"/>
      <c r="L36" s="3"/>
      <c r="M36" s="3"/>
      <c r="N36" s="3"/>
      <c r="O36" s="3"/>
      <c r="P36" s="3"/>
      <c r="Q36" s="3"/>
      <c r="R36" s="3"/>
      <c r="S36" s="3"/>
      <c r="T36" s="3"/>
      <c r="U36" s="3"/>
      <c r="V36" s="3"/>
      <c r="W36" s="3" t="s">
        <v>18</v>
      </c>
      <c r="X36" s="3"/>
      <c r="Y36" s="3" t="s">
        <v>18</v>
      </c>
      <c r="Z36" s="3"/>
      <c r="AA36" s="3"/>
      <c r="AB36" s="3"/>
      <c r="AC36" s="3"/>
      <c r="AD36" s="3"/>
      <c r="AE36" s="3"/>
      <c r="AF36" s="3"/>
      <c r="AG36" s="3"/>
      <c r="AH36" s="3"/>
      <c r="AI36" s="3"/>
      <c r="AJ36" s="3"/>
      <c r="AK36" s="3"/>
      <c r="AL36" s="3"/>
      <c r="AM36" s="3"/>
      <c r="AN36" s="3"/>
      <c r="AO36" s="3" t="s">
        <v>18</v>
      </c>
      <c r="AP36" s="3"/>
      <c r="AQ36" s="3" t="s">
        <v>18</v>
      </c>
      <c r="AR36" s="3">
        <f t="shared" si="3"/>
        <v>0</v>
      </c>
      <c r="AS36" s="3">
        <f t="shared" si="4"/>
        <v>4</v>
      </c>
      <c r="AT36" s="3">
        <f t="shared" si="5"/>
        <v>4</v>
      </c>
      <c r="AU36" s="4" t="s">
        <v>160</v>
      </c>
      <c r="AV36" s="6" t="s">
        <v>20</v>
      </c>
      <c r="AW36" s="6" t="s">
        <v>20</v>
      </c>
      <c r="AX36" s="6" t="s">
        <v>21</v>
      </c>
    </row>
    <row r="37" spans="1:50" ht="15" customHeight="1" x14ac:dyDescent="0.2">
      <c r="A37" s="3">
        <v>36</v>
      </c>
      <c r="B37" s="4" t="s">
        <v>148</v>
      </c>
      <c r="C37" s="4" t="s">
        <v>161</v>
      </c>
      <c r="D37" s="4" t="s">
        <v>162</v>
      </c>
      <c r="E37" s="4" t="s">
        <v>163</v>
      </c>
      <c r="F37" s="5">
        <v>113</v>
      </c>
      <c r="G37" s="3"/>
      <c r="H37" s="3"/>
      <c r="I37" s="3"/>
      <c r="J37" s="3"/>
      <c r="K37" s="3"/>
      <c r="L37" s="3"/>
      <c r="M37" s="3"/>
      <c r="N37" s="3"/>
      <c r="O37" s="3"/>
      <c r="P37" s="3"/>
      <c r="Q37" s="3"/>
      <c r="R37" s="3"/>
      <c r="S37" s="3"/>
      <c r="T37" s="3"/>
      <c r="U37" s="3"/>
      <c r="V37" s="3"/>
      <c r="W37" s="3"/>
      <c r="X37" s="3"/>
      <c r="Y37" s="3"/>
      <c r="Z37" s="3"/>
      <c r="AA37" s="3"/>
      <c r="AB37" s="3"/>
      <c r="AC37" s="3"/>
      <c r="AD37" s="3"/>
      <c r="AE37" s="3"/>
      <c r="AF37" s="3" t="s">
        <v>18</v>
      </c>
      <c r="AG37" s="3"/>
      <c r="AH37" s="3"/>
      <c r="AI37" s="3"/>
      <c r="AJ37" s="3"/>
      <c r="AK37" s="3"/>
      <c r="AL37" s="3"/>
      <c r="AM37" s="3"/>
      <c r="AN37" s="3"/>
      <c r="AO37" s="3"/>
      <c r="AP37" s="3"/>
      <c r="AQ37" s="3" t="s">
        <v>18</v>
      </c>
      <c r="AR37" s="3">
        <f t="shared" si="3"/>
        <v>0</v>
      </c>
      <c r="AS37" s="3">
        <f t="shared" si="4"/>
        <v>2</v>
      </c>
      <c r="AT37" s="3">
        <f t="shared" si="5"/>
        <v>2</v>
      </c>
      <c r="AU37" s="4" t="s">
        <v>164</v>
      </c>
      <c r="AV37" s="6" t="s">
        <v>20</v>
      </c>
      <c r="AW37" s="6" t="s">
        <v>20</v>
      </c>
      <c r="AX37" s="6" t="s">
        <v>21</v>
      </c>
    </row>
    <row r="38" spans="1:50" ht="15" customHeight="1" x14ac:dyDescent="0.2">
      <c r="A38" s="3">
        <v>37</v>
      </c>
      <c r="B38" s="4" t="s">
        <v>148</v>
      </c>
      <c r="C38" s="4" t="s">
        <v>165</v>
      </c>
      <c r="D38" s="4" t="s">
        <v>166</v>
      </c>
      <c r="E38" s="4" t="s">
        <v>167</v>
      </c>
      <c r="F38" s="5">
        <v>150</v>
      </c>
      <c r="G38" s="3"/>
      <c r="H38" s="3"/>
      <c r="I38" s="3"/>
      <c r="J38" s="3"/>
      <c r="K38" s="3"/>
      <c r="L38" s="3"/>
      <c r="M38" s="3"/>
      <c r="N38" s="3"/>
      <c r="O38" s="3"/>
      <c r="P38" s="3"/>
      <c r="Q38" s="3"/>
      <c r="R38" s="3"/>
      <c r="S38" s="3"/>
      <c r="T38" s="3"/>
      <c r="U38" s="3"/>
      <c r="V38" s="3"/>
      <c r="W38" s="3"/>
      <c r="X38" s="3"/>
      <c r="Y38" s="3" t="s">
        <v>17</v>
      </c>
      <c r="Z38" s="3"/>
      <c r="AA38" s="3"/>
      <c r="AB38" s="3"/>
      <c r="AC38" s="3"/>
      <c r="AD38" s="3"/>
      <c r="AE38" s="3"/>
      <c r="AF38" s="3"/>
      <c r="AG38" s="3"/>
      <c r="AH38" s="3"/>
      <c r="AI38" s="3"/>
      <c r="AJ38" s="3"/>
      <c r="AK38" s="3"/>
      <c r="AL38" s="3" t="s">
        <v>18</v>
      </c>
      <c r="AM38" s="3"/>
      <c r="AN38" s="3" t="s">
        <v>18</v>
      </c>
      <c r="AO38" s="3"/>
      <c r="AP38" s="3"/>
      <c r="AQ38" s="3" t="s">
        <v>17</v>
      </c>
      <c r="AR38" s="3">
        <f t="shared" si="3"/>
        <v>2</v>
      </c>
      <c r="AS38" s="3">
        <f t="shared" si="4"/>
        <v>2</v>
      </c>
      <c r="AT38" s="3">
        <f t="shared" si="5"/>
        <v>4</v>
      </c>
      <c r="AU38" s="4" t="s">
        <v>168</v>
      </c>
      <c r="AV38" s="6" t="s">
        <v>20</v>
      </c>
      <c r="AW38" s="6" t="s">
        <v>20</v>
      </c>
      <c r="AX38" s="6" t="s">
        <v>21</v>
      </c>
    </row>
    <row r="39" spans="1:50" ht="15" customHeight="1" x14ac:dyDescent="0.2">
      <c r="A39" s="3">
        <v>38</v>
      </c>
      <c r="B39" s="4" t="s">
        <v>148</v>
      </c>
      <c r="C39" s="4" t="s">
        <v>169</v>
      </c>
      <c r="D39" s="4" t="s">
        <v>170</v>
      </c>
      <c r="E39" s="4" t="s">
        <v>171</v>
      </c>
      <c r="F39" s="5">
        <v>1822</v>
      </c>
      <c r="G39" s="3"/>
      <c r="H39" s="3"/>
      <c r="I39" s="3"/>
      <c r="J39" s="3"/>
      <c r="K39" s="3"/>
      <c r="L39" s="3"/>
      <c r="M39" s="3"/>
      <c r="N39" s="3"/>
      <c r="O39" s="3"/>
      <c r="P39" s="3"/>
      <c r="Q39" s="3"/>
      <c r="R39" s="3"/>
      <c r="S39" s="3"/>
      <c r="T39" s="3"/>
      <c r="U39" s="3"/>
      <c r="V39" s="3"/>
      <c r="W39" s="3"/>
      <c r="X39" s="3"/>
      <c r="Y39" s="3" t="s">
        <v>17</v>
      </c>
      <c r="Z39" s="3"/>
      <c r="AA39" s="3"/>
      <c r="AB39" s="3"/>
      <c r="AC39" s="3"/>
      <c r="AD39" s="3" t="s">
        <v>17</v>
      </c>
      <c r="AE39" s="3" t="s">
        <v>17</v>
      </c>
      <c r="AF39" s="3" t="s">
        <v>18</v>
      </c>
      <c r="AG39" s="3"/>
      <c r="AH39" s="3"/>
      <c r="AI39" s="3"/>
      <c r="AJ39" s="3"/>
      <c r="AK39" s="3"/>
      <c r="AL39" s="3"/>
      <c r="AM39" s="3"/>
      <c r="AN39" s="3"/>
      <c r="AO39" s="3"/>
      <c r="AP39" s="3" t="s">
        <v>17</v>
      </c>
      <c r="AQ39" s="3" t="s">
        <v>17</v>
      </c>
      <c r="AR39" s="3">
        <f t="shared" si="3"/>
        <v>5</v>
      </c>
      <c r="AS39" s="3">
        <f t="shared" si="4"/>
        <v>1</v>
      </c>
      <c r="AT39" s="3">
        <f t="shared" si="5"/>
        <v>6</v>
      </c>
      <c r="AU39" s="4" t="s">
        <v>172</v>
      </c>
      <c r="AV39" s="6" t="s">
        <v>20</v>
      </c>
      <c r="AW39" s="6" t="s">
        <v>20</v>
      </c>
      <c r="AX39" s="6" t="s">
        <v>21</v>
      </c>
    </row>
    <row r="40" spans="1:50" ht="15" customHeight="1" x14ac:dyDescent="0.2">
      <c r="A40" s="3">
        <v>39</v>
      </c>
      <c r="B40" s="4" t="s">
        <v>148</v>
      </c>
      <c r="C40" s="4" t="s">
        <v>173</v>
      </c>
      <c r="D40" s="4" t="s">
        <v>33</v>
      </c>
      <c r="E40" s="4" t="s">
        <v>174</v>
      </c>
      <c r="F40" s="5">
        <v>518</v>
      </c>
      <c r="G40" s="3"/>
      <c r="H40" s="3"/>
      <c r="I40" s="3"/>
      <c r="J40" s="3" t="s">
        <v>17</v>
      </c>
      <c r="K40" s="3"/>
      <c r="L40" s="3"/>
      <c r="M40" s="3"/>
      <c r="N40" s="3"/>
      <c r="O40" s="3"/>
      <c r="P40" s="3"/>
      <c r="Q40" s="3"/>
      <c r="R40" s="3"/>
      <c r="S40" s="3"/>
      <c r="T40" s="3"/>
      <c r="U40" s="3"/>
      <c r="V40" s="3"/>
      <c r="W40" s="3"/>
      <c r="X40" s="3"/>
      <c r="Y40" s="3" t="s">
        <v>17</v>
      </c>
      <c r="Z40" s="3"/>
      <c r="AA40" s="3"/>
      <c r="AB40" s="3"/>
      <c r="AC40" s="3"/>
      <c r="AD40" s="3"/>
      <c r="AE40" s="3"/>
      <c r="AF40" s="3"/>
      <c r="AG40" s="3"/>
      <c r="AH40" s="3"/>
      <c r="AI40" s="3"/>
      <c r="AJ40" s="3"/>
      <c r="AK40" s="3" t="s">
        <v>17</v>
      </c>
      <c r="AL40" s="3"/>
      <c r="AM40" s="3"/>
      <c r="AN40" s="3"/>
      <c r="AO40" s="3"/>
      <c r="AP40" s="3"/>
      <c r="AQ40" s="3" t="s">
        <v>17</v>
      </c>
      <c r="AR40" s="3">
        <f t="shared" si="3"/>
        <v>4</v>
      </c>
      <c r="AS40" s="3">
        <f t="shared" si="4"/>
        <v>0</v>
      </c>
      <c r="AT40" s="3">
        <f t="shared" si="5"/>
        <v>4</v>
      </c>
      <c r="AU40" s="4" t="s">
        <v>175</v>
      </c>
      <c r="AV40" s="6" t="s">
        <v>20</v>
      </c>
      <c r="AW40" s="6" t="s">
        <v>20</v>
      </c>
      <c r="AX40" s="6" t="s">
        <v>21</v>
      </c>
    </row>
    <row r="41" spans="1:50" ht="15" customHeight="1" x14ac:dyDescent="0.2">
      <c r="A41" s="3">
        <v>40</v>
      </c>
      <c r="B41" s="4" t="s">
        <v>148</v>
      </c>
      <c r="C41" s="4" t="s">
        <v>176</v>
      </c>
      <c r="D41" s="4" t="s">
        <v>177</v>
      </c>
      <c r="E41" s="4" t="s">
        <v>178</v>
      </c>
      <c r="F41" s="5">
        <v>2240</v>
      </c>
      <c r="G41" s="3"/>
      <c r="H41" s="3"/>
      <c r="I41" s="3"/>
      <c r="J41" s="3"/>
      <c r="K41" s="3"/>
      <c r="L41" s="3"/>
      <c r="M41" s="3"/>
      <c r="N41" s="3"/>
      <c r="O41" s="3"/>
      <c r="P41" s="3"/>
      <c r="Q41" s="3"/>
      <c r="R41" s="3"/>
      <c r="S41" s="3"/>
      <c r="T41" s="3"/>
      <c r="U41" s="3"/>
      <c r="V41" s="3"/>
      <c r="W41" s="3"/>
      <c r="X41" s="3"/>
      <c r="Y41" s="3"/>
      <c r="Z41" s="3"/>
      <c r="AA41" s="3"/>
      <c r="AB41" s="3"/>
      <c r="AC41" s="3"/>
      <c r="AD41" s="3"/>
      <c r="AE41" s="3" t="s">
        <v>17</v>
      </c>
      <c r="AF41" s="3" t="s">
        <v>17</v>
      </c>
      <c r="AG41" s="3"/>
      <c r="AH41" s="3" t="s">
        <v>18</v>
      </c>
      <c r="AI41" s="3"/>
      <c r="AJ41" s="3"/>
      <c r="AK41" s="3"/>
      <c r="AL41" s="3"/>
      <c r="AM41" s="3"/>
      <c r="AN41" s="3"/>
      <c r="AO41" s="3"/>
      <c r="AP41" s="3"/>
      <c r="AQ41" s="3"/>
      <c r="AR41" s="3">
        <f t="shared" si="3"/>
        <v>2</v>
      </c>
      <c r="AS41" s="3">
        <f t="shared" si="4"/>
        <v>1</v>
      </c>
      <c r="AT41" s="3">
        <f t="shared" si="5"/>
        <v>3</v>
      </c>
      <c r="AU41" s="4" t="s">
        <v>179</v>
      </c>
      <c r="AV41" s="6" t="s">
        <v>20</v>
      </c>
      <c r="AW41" s="6" t="s">
        <v>20</v>
      </c>
      <c r="AX41" s="6" t="s">
        <v>21</v>
      </c>
    </row>
    <row r="42" spans="1:50" ht="15" customHeight="1" x14ac:dyDescent="0.2">
      <c r="A42" s="3">
        <v>41</v>
      </c>
      <c r="B42" s="4" t="s">
        <v>148</v>
      </c>
      <c r="C42" s="4" t="s">
        <v>180</v>
      </c>
      <c r="D42" s="4" t="s">
        <v>181</v>
      </c>
      <c r="E42" s="4" t="s">
        <v>182</v>
      </c>
      <c r="F42" s="5">
        <v>827</v>
      </c>
      <c r="G42" s="3"/>
      <c r="H42" s="3"/>
      <c r="I42" s="3"/>
      <c r="J42" s="3"/>
      <c r="K42" s="3"/>
      <c r="L42" s="3"/>
      <c r="M42" s="3"/>
      <c r="N42" s="3"/>
      <c r="O42" s="3"/>
      <c r="P42" s="3"/>
      <c r="Q42" s="3"/>
      <c r="R42" s="3"/>
      <c r="S42" s="3"/>
      <c r="T42" s="3"/>
      <c r="U42" s="3"/>
      <c r="V42" s="3"/>
      <c r="W42" s="3"/>
      <c r="X42" s="3"/>
      <c r="Y42" s="3" t="s">
        <v>17</v>
      </c>
      <c r="Z42" s="3"/>
      <c r="AA42" s="3"/>
      <c r="AB42" s="3"/>
      <c r="AC42" s="3" t="s">
        <v>17</v>
      </c>
      <c r="AD42" s="3"/>
      <c r="AE42" s="3"/>
      <c r="AF42" s="3"/>
      <c r="AG42" s="3"/>
      <c r="AH42" s="3" t="s">
        <v>17</v>
      </c>
      <c r="AI42" s="3"/>
      <c r="AJ42" s="3"/>
      <c r="AK42" s="3" t="s">
        <v>17</v>
      </c>
      <c r="AL42" s="3"/>
      <c r="AM42" s="3"/>
      <c r="AN42" s="3"/>
      <c r="AO42" s="3"/>
      <c r="AP42" s="3"/>
      <c r="AQ42" s="3" t="s">
        <v>17</v>
      </c>
      <c r="AR42" s="3">
        <f t="shared" si="3"/>
        <v>5</v>
      </c>
      <c r="AS42" s="3">
        <f t="shared" si="4"/>
        <v>0</v>
      </c>
      <c r="AT42" s="3">
        <f t="shared" si="5"/>
        <v>5</v>
      </c>
      <c r="AU42" s="4" t="s">
        <v>183</v>
      </c>
      <c r="AV42" s="6" t="s">
        <v>20</v>
      </c>
      <c r="AW42" s="6" t="s">
        <v>20</v>
      </c>
      <c r="AX42" s="6" t="s">
        <v>21</v>
      </c>
    </row>
    <row r="43" spans="1:50" ht="15" customHeight="1" x14ac:dyDescent="0.2">
      <c r="A43" s="3">
        <v>42</v>
      </c>
      <c r="B43" s="4" t="s">
        <v>148</v>
      </c>
      <c r="C43" s="4" t="s">
        <v>184</v>
      </c>
      <c r="D43" s="4" t="s">
        <v>185</v>
      </c>
      <c r="E43" s="4" t="s">
        <v>186</v>
      </c>
      <c r="F43" s="5">
        <v>510</v>
      </c>
      <c r="G43" s="3"/>
      <c r="H43" s="3"/>
      <c r="I43" s="3"/>
      <c r="J43" s="3"/>
      <c r="K43" s="3"/>
      <c r="L43" s="3"/>
      <c r="M43" s="3"/>
      <c r="N43" s="3" t="s">
        <v>17</v>
      </c>
      <c r="O43" s="3"/>
      <c r="P43" s="3"/>
      <c r="Q43" s="3"/>
      <c r="R43" s="3"/>
      <c r="S43" s="3"/>
      <c r="T43" s="3"/>
      <c r="U43" s="3"/>
      <c r="V43" s="3"/>
      <c r="W43" s="3"/>
      <c r="X43" s="3"/>
      <c r="Y43" s="3" t="s">
        <v>17</v>
      </c>
      <c r="Z43" s="3"/>
      <c r="AA43" s="3"/>
      <c r="AB43" s="3"/>
      <c r="AC43" s="3"/>
      <c r="AD43" s="3" t="s">
        <v>18</v>
      </c>
      <c r="AE43" s="3"/>
      <c r="AF43" s="3" t="s">
        <v>17</v>
      </c>
      <c r="AG43" s="3"/>
      <c r="AH43" s="3" t="s">
        <v>18</v>
      </c>
      <c r="AI43" s="3"/>
      <c r="AJ43" s="3"/>
      <c r="AK43" s="3" t="s">
        <v>17</v>
      </c>
      <c r="AL43" s="3"/>
      <c r="AM43" s="3"/>
      <c r="AN43" s="3"/>
      <c r="AO43" s="3"/>
      <c r="AP43" s="3"/>
      <c r="AQ43" s="3" t="s">
        <v>18</v>
      </c>
      <c r="AR43" s="3">
        <f t="shared" si="3"/>
        <v>4</v>
      </c>
      <c r="AS43" s="3">
        <f t="shared" si="4"/>
        <v>3</v>
      </c>
      <c r="AT43" s="3">
        <f t="shared" si="5"/>
        <v>7</v>
      </c>
      <c r="AU43" s="4" t="s">
        <v>187</v>
      </c>
      <c r="AV43" s="6" t="s">
        <v>20</v>
      </c>
      <c r="AW43" s="6" t="s">
        <v>188</v>
      </c>
      <c r="AX43" s="6" t="s">
        <v>31</v>
      </c>
    </row>
    <row r="44" spans="1:50" ht="15" customHeight="1" x14ac:dyDescent="0.2">
      <c r="A44" s="3">
        <v>43</v>
      </c>
      <c r="B44" s="4" t="s">
        <v>148</v>
      </c>
      <c r="C44" s="4" t="s">
        <v>189</v>
      </c>
      <c r="D44" s="4" t="s">
        <v>190</v>
      </c>
      <c r="E44" s="4" t="s">
        <v>191</v>
      </c>
      <c r="F44" s="5">
        <v>12</v>
      </c>
      <c r="G44" s="3"/>
      <c r="H44" s="3"/>
      <c r="I44" s="3"/>
      <c r="J44" s="3" t="s">
        <v>18</v>
      </c>
      <c r="K44" s="3"/>
      <c r="L44" s="3"/>
      <c r="M44" s="3"/>
      <c r="N44" s="3" t="s">
        <v>17</v>
      </c>
      <c r="O44" s="3"/>
      <c r="P44" s="3"/>
      <c r="Q44" s="3"/>
      <c r="R44" s="3"/>
      <c r="S44" s="3"/>
      <c r="T44" s="3"/>
      <c r="U44" s="3"/>
      <c r="V44" s="3"/>
      <c r="W44" s="3"/>
      <c r="X44" s="3"/>
      <c r="Y44" s="3" t="s">
        <v>17</v>
      </c>
      <c r="Z44" s="3"/>
      <c r="AA44" s="3"/>
      <c r="AB44" s="3" t="s">
        <v>18</v>
      </c>
      <c r="AC44" s="3"/>
      <c r="AD44" s="3"/>
      <c r="AE44" s="3" t="s">
        <v>18</v>
      </c>
      <c r="AF44" s="3" t="s">
        <v>18</v>
      </c>
      <c r="AG44" s="3"/>
      <c r="AH44" s="3"/>
      <c r="AI44" s="3"/>
      <c r="AJ44" s="3" t="s">
        <v>18</v>
      </c>
      <c r="AK44" s="3"/>
      <c r="AL44" s="3" t="s">
        <v>18</v>
      </c>
      <c r="AM44" s="3"/>
      <c r="AN44" s="3"/>
      <c r="AO44" s="3"/>
      <c r="AP44" s="3"/>
      <c r="AQ44" s="3" t="s">
        <v>17</v>
      </c>
      <c r="AR44" s="3">
        <f t="shared" si="3"/>
        <v>3</v>
      </c>
      <c r="AS44" s="3">
        <f t="shared" si="4"/>
        <v>6</v>
      </c>
      <c r="AT44" s="3">
        <f t="shared" si="5"/>
        <v>9</v>
      </c>
      <c r="AU44" s="4" t="s">
        <v>192</v>
      </c>
      <c r="AV44" s="6" t="s">
        <v>20</v>
      </c>
      <c r="AW44" s="6" t="s">
        <v>193</v>
      </c>
      <c r="AX44" s="6" t="s">
        <v>31</v>
      </c>
    </row>
    <row r="45" spans="1:50" ht="15" customHeight="1" x14ac:dyDescent="0.2">
      <c r="A45" s="3">
        <v>44</v>
      </c>
      <c r="B45" s="4" t="s">
        <v>148</v>
      </c>
      <c r="C45" s="4" t="s">
        <v>194</v>
      </c>
      <c r="D45" s="4" t="s">
        <v>195</v>
      </c>
      <c r="E45" s="4" t="s">
        <v>196</v>
      </c>
      <c r="F45" s="5">
        <v>1374</v>
      </c>
      <c r="G45" s="3"/>
      <c r="H45" s="3"/>
      <c r="I45" s="3"/>
      <c r="J45" s="3"/>
      <c r="K45" s="3"/>
      <c r="L45" s="3"/>
      <c r="M45" s="3"/>
      <c r="N45" s="3"/>
      <c r="O45" s="3"/>
      <c r="P45" s="3"/>
      <c r="Q45" s="3"/>
      <c r="R45" s="3"/>
      <c r="S45" s="3"/>
      <c r="T45" s="3"/>
      <c r="U45" s="3"/>
      <c r="V45" s="3"/>
      <c r="W45" s="3"/>
      <c r="X45" s="3"/>
      <c r="Y45" s="3" t="s">
        <v>17</v>
      </c>
      <c r="Z45" s="3"/>
      <c r="AA45" s="3"/>
      <c r="AB45" s="3" t="s">
        <v>18</v>
      </c>
      <c r="AC45" s="3" t="s">
        <v>18</v>
      </c>
      <c r="AD45" s="3" t="s">
        <v>18</v>
      </c>
      <c r="AE45" s="3"/>
      <c r="AF45" s="3" t="s">
        <v>17</v>
      </c>
      <c r="AG45" s="3"/>
      <c r="AH45" s="3"/>
      <c r="AI45" s="3"/>
      <c r="AJ45" s="3"/>
      <c r="AK45" s="3" t="s">
        <v>17</v>
      </c>
      <c r="AL45" s="3"/>
      <c r="AM45" s="3"/>
      <c r="AN45" s="3"/>
      <c r="AO45" s="3"/>
      <c r="AP45" s="3"/>
      <c r="AQ45" s="3" t="s">
        <v>17</v>
      </c>
      <c r="AR45" s="3">
        <f t="shared" si="3"/>
        <v>4</v>
      </c>
      <c r="AS45" s="3">
        <f t="shared" si="4"/>
        <v>3</v>
      </c>
      <c r="AT45" s="3">
        <f t="shared" si="5"/>
        <v>7</v>
      </c>
      <c r="AU45" s="4" t="s">
        <v>197</v>
      </c>
      <c r="AV45" s="6" t="s">
        <v>20</v>
      </c>
      <c r="AW45" s="6" t="s">
        <v>20</v>
      </c>
      <c r="AX45" s="6" t="s">
        <v>21</v>
      </c>
    </row>
    <row r="46" spans="1:50" ht="15" customHeight="1" x14ac:dyDescent="0.2">
      <c r="A46" s="3">
        <v>45</v>
      </c>
      <c r="B46" s="4" t="s">
        <v>148</v>
      </c>
      <c r="C46" s="4" t="s">
        <v>198</v>
      </c>
      <c r="D46" s="4" t="s">
        <v>199</v>
      </c>
      <c r="E46" s="4" t="s">
        <v>200</v>
      </c>
      <c r="F46" s="5">
        <v>2714</v>
      </c>
      <c r="G46" s="3"/>
      <c r="H46" s="3"/>
      <c r="I46" s="3"/>
      <c r="J46" s="3"/>
      <c r="K46" s="3"/>
      <c r="L46" s="3"/>
      <c r="M46" s="3"/>
      <c r="N46" s="3" t="s">
        <v>17</v>
      </c>
      <c r="O46" s="3"/>
      <c r="P46" s="3"/>
      <c r="Q46" s="3"/>
      <c r="R46" s="3"/>
      <c r="S46" s="3"/>
      <c r="T46" s="3"/>
      <c r="U46" s="3"/>
      <c r="V46" s="3"/>
      <c r="W46" s="3"/>
      <c r="X46" s="3"/>
      <c r="Y46" s="3" t="s">
        <v>17</v>
      </c>
      <c r="Z46" s="3"/>
      <c r="AA46" s="3"/>
      <c r="AB46" s="3"/>
      <c r="AC46" s="3"/>
      <c r="AD46" s="3" t="s">
        <v>18</v>
      </c>
      <c r="AE46" s="3" t="s">
        <v>18</v>
      </c>
      <c r="AF46" s="3"/>
      <c r="AG46" s="3"/>
      <c r="AH46" s="3" t="s">
        <v>18</v>
      </c>
      <c r="AI46" s="3"/>
      <c r="AJ46" s="3"/>
      <c r="AK46" s="3" t="s">
        <v>17</v>
      </c>
      <c r="AL46" s="3"/>
      <c r="AM46" s="3"/>
      <c r="AN46" s="3"/>
      <c r="AO46" s="3"/>
      <c r="AP46" s="3" t="s">
        <v>18</v>
      </c>
      <c r="AQ46" s="3" t="s">
        <v>17</v>
      </c>
      <c r="AR46" s="3">
        <f t="shared" si="3"/>
        <v>4</v>
      </c>
      <c r="AS46" s="3">
        <f t="shared" si="4"/>
        <v>4</v>
      </c>
      <c r="AT46" s="3">
        <f t="shared" si="5"/>
        <v>8</v>
      </c>
      <c r="AU46" s="4" t="s">
        <v>201</v>
      </c>
      <c r="AV46" s="6" t="s">
        <v>20</v>
      </c>
      <c r="AW46" s="6" t="s">
        <v>20</v>
      </c>
      <c r="AX46" s="6" t="s">
        <v>21</v>
      </c>
    </row>
    <row r="47" spans="1:50" ht="15" customHeight="1" x14ac:dyDescent="0.2">
      <c r="A47" s="3">
        <v>46</v>
      </c>
      <c r="B47" s="4" t="s">
        <v>148</v>
      </c>
      <c r="C47" s="4" t="s">
        <v>202</v>
      </c>
      <c r="D47" s="4" t="s">
        <v>203</v>
      </c>
      <c r="E47" s="4" t="s">
        <v>204</v>
      </c>
      <c r="F47" s="5">
        <v>720</v>
      </c>
      <c r="G47" s="3"/>
      <c r="H47" s="3"/>
      <c r="I47" s="3"/>
      <c r="J47" s="3"/>
      <c r="K47" s="3"/>
      <c r="L47" s="3"/>
      <c r="M47" s="3"/>
      <c r="N47" s="3"/>
      <c r="O47" s="3"/>
      <c r="P47" s="3"/>
      <c r="Q47" s="3"/>
      <c r="R47" s="3"/>
      <c r="S47" s="3"/>
      <c r="T47" s="3"/>
      <c r="U47" s="3"/>
      <c r="V47" s="3"/>
      <c r="W47" s="3"/>
      <c r="X47" s="3"/>
      <c r="Y47" s="3" t="s">
        <v>18</v>
      </c>
      <c r="Z47" s="3"/>
      <c r="AA47" s="3"/>
      <c r="AB47" s="3"/>
      <c r="AC47" s="3" t="s">
        <v>18</v>
      </c>
      <c r="AD47" s="3" t="s">
        <v>18</v>
      </c>
      <c r="AE47" s="3" t="s">
        <v>18</v>
      </c>
      <c r="AF47" s="3" t="s">
        <v>17</v>
      </c>
      <c r="AG47" s="3"/>
      <c r="AH47" s="3"/>
      <c r="AI47" s="3"/>
      <c r="AJ47" s="3" t="s">
        <v>18</v>
      </c>
      <c r="AK47" s="3" t="s">
        <v>17</v>
      </c>
      <c r="AL47" s="3"/>
      <c r="AM47" s="3"/>
      <c r="AN47" s="3"/>
      <c r="AO47" s="3"/>
      <c r="AP47" s="3"/>
      <c r="AQ47" s="3" t="s">
        <v>17</v>
      </c>
      <c r="AR47" s="3">
        <f t="shared" si="3"/>
        <v>3</v>
      </c>
      <c r="AS47" s="3">
        <f t="shared" si="4"/>
        <v>5</v>
      </c>
      <c r="AT47" s="3">
        <f t="shared" si="5"/>
        <v>8</v>
      </c>
      <c r="AU47" s="4" t="s">
        <v>205</v>
      </c>
      <c r="AV47" s="6" t="s">
        <v>20</v>
      </c>
      <c r="AW47" s="6" t="s">
        <v>206</v>
      </c>
      <c r="AX47" s="6" t="s">
        <v>37</v>
      </c>
    </row>
    <row r="48" spans="1:50" ht="15" customHeight="1" x14ac:dyDescent="0.2">
      <c r="A48" s="3">
        <v>47</v>
      </c>
      <c r="B48" s="4" t="s">
        <v>148</v>
      </c>
      <c r="C48" s="4" t="s">
        <v>207</v>
      </c>
      <c r="D48" s="4" t="s">
        <v>208</v>
      </c>
      <c r="E48" s="4" t="s">
        <v>209</v>
      </c>
      <c r="F48" s="5">
        <v>296</v>
      </c>
      <c r="G48" s="3"/>
      <c r="H48" s="3"/>
      <c r="I48" s="3"/>
      <c r="J48" s="3" t="s">
        <v>17</v>
      </c>
      <c r="K48" s="3"/>
      <c r="L48" s="3"/>
      <c r="M48" s="3"/>
      <c r="N48" s="3" t="s">
        <v>17</v>
      </c>
      <c r="O48" s="3"/>
      <c r="P48" s="3"/>
      <c r="Q48" s="3"/>
      <c r="R48" s="3"/>
      <c r="S48" s="3"/>
      <c r="T48" s="3"/>
      <c r="U48" s="3"/>
      <c r="V48" s="3"/>
      <c r="W48" s="3"/>
      <c r="X48" s="3"/>
      <c r="Y48" s="3" t="s">
        <v>17</v>
      </c>
      <c r="Z48" s="3"/>
      <c r="AA48" s="3"/>
      <c r="AB48" s="3"/>
      <c r="AC48" s="3"/>
      <c r="AD48" s="3"/>
      <c r="AE48" s="3"/>
      <c r="AF48" s="3"/>
      <c r="AG48" s="3"/>
      <c r="AH48" s="3"/>
      <c r="AI48" s="3"/>
      <c r="AJ48" s="3"/>
      <c r="AK48" s="3" t="s">
        <v>17</v>
      </c>
      <c r="AL48" s="3" t="s">
        <v>18</v>
      </c>
      <c r="AM48" s="3"/>
      <c r="AN48" s="3"/>
      <c r="AO48" s="3"/>
      <c r="AP48" s="3"/>
      <c r="AQ48" s="3" t="s">
        <v>17</v>
      </c>
      <c r="AR48" s="3">
        <f t="shared" si="3"/>
        <v>5</v>
      </c>
      <c r="AS48" s="3">
        <f t="shared" si="4"/>
        <v>1</v>
      </c>
      <c r="AT48" s="3">
        <f t="shared" si="5"/>
        <v>6</v>
      </c>
      <c r="AU48" s="4" t="s">
        <v>210</v>
      </c>
      <c r="AV48" s="6" t="s">
        <v>20</v>
      </c>
      <c r="AW48" s="6" t="s">
        <v>211</v>
      </c>
      <c r="AX48" s="6" t="s">
        <v>37</v>
      </c>
    </row>
    <row r="49" spans="1:50" ht="15" customHeight="1" x14ac:dyDescent="0.2">
      <c r="A49" s="3">
        <v>48</v>
      </c>
      <c r="B49" s="4" t="s">
        <v>148</v>
      </c>
      <c r="C49" s="4" t="s">
        <v>212</v>
      </c>
      <c r="D49" s="4" t="s">
        <v>213</v>
      </c>
      <c r="E49" s="4" t="s">
        <v>214</v>
      </c>
      <c r="F49" s="5">
        <v>2103</v>
      </c>
      <c r="G49" s="3"/>
      <c r="H49" s="3"/>
      <c r="I49" s="3"/>
      <c r="J49" s="3"/>
      <c r="K49" s="3"/>
      <c r="L49" s="3"/>
      <c r="M49" s="3"/>
      <c r="N49" s="3"/>
      <c r="O49" s="3"/>
      <c r="P49" s="3"/>
      <c r="Q49" s="3"/>
      <c r="R49" s="3"/>
      <c r="S49" s="3"/>
      <c r="T49" s="3"/>
      <c r="U49" s="3"/>
      <c r="V49" s="3"/>
      <c r="W49" s="3"/>
      <c r="X49" s="3"/>
      <c r="Y49" s="3" t="s">
        <v>17</v>
      </c>
      <c r="Z49" s="3"/>
      <c r="AA49" s="3"/>
      <c r="AB49" s="3"/>
      <c r="AC49" s="3"/>
      <c r="AD49" s="3"/>
      <c r="AE49" s="3"/>
      <c r="AF49" s="3" t="s">
        <v>17</v>
      </c>
      <c r="AG49" s="3"/>
      <c r="AH49" s="3"/>
      <c r="AI49" s="3"/>
      <c r="AJ49" s="3"/>
      <c r="AK49" s="3"/>
      <c r="AL49" s="3"/>
      <c r="AM49" s="3"/>
      <c r="AN49" s="3"/>
      <c r="AO49" s="3"/>
      <c r="AP49" s="3"/>
      <c r="AQ49" s="3" t="s">
        <v>17</v>
      </c>
      <c r="AR49" s="3">
        <f t="shared" si="3"/>
        <v>3</v>
      </c>
      <c r="AS49" s="3">
        <f t="shared" si="4"/>
        <v>0</v>
      </c>
      <c r="AT49" s="3">
        <f t="shared" si="5"/>
        <v>3</v>
      </c>
      <c r="AU49" s="4" t="s">
        <v>215</v>
      </c>
      <c r="AV49" s="6" t="s">
        <v>20</v>
      </c>
      <c r="AW49" s="6" t="s">
        <v>216</v>
      </c>
      <c r="AX49" s="6" t="s">
        <v>37</v>
      </c>
    </row>
    <row r="50" spans="1:50" ht="15" customHeight="1" x14ac:dyDescent="0.2">
      <c r="A50" s="3">
        <v>49</v>
      </c>
      <c r="B50" s="4" t="s">
        <v>148</v>
      </c>
      <c r="C50" s="4" t="s">
        <v>217</v>
      </c>
      <c r="D50" s="4" t="s">
        <v>218</v>
      </c>
      <c r="E50" s="4" t="s">
        <v>219</v>
      </c>
      <c r="F50" s="5">
        <v>975</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t="s">
        <v>17</v>
      </c>
      <c r="AL50" s="3"/>
      <c r="AM50" s="3"/>
      <c r="AN50" s="3"/>
      <c r="AO50" s="3"/>
      <c r="AP50" s="3" t="s">
        <v>17</v>
      </c>
      <c r="AQ50" s="3"/>
      <c r="AR50" s="3">
        <f t="shared" si="3"/>
        <v>2</v>
      </c>
      <c r="AS50" s="3">
        <f t="shared" si="4"/>
        <v>0</v>
      </c>
      <c r="AT50" s="3">
        <f t="shared" si="5"/>
        <v>2</v>
      </c>
      <c r="AU50" s="4" t="s">
        <v>220</v>
      </c>
      <c r="AV50" s="6" t="s">
        <v>20</v>
      </c>
      <c r="AW50" s="6" t="s">
        <v>20</v>
      </c>
      <c r="AX50" s="6" t="s">
        <v>21</v>
      </c>
    </row>
    <row r="51" spans="1:50" ht="15" customHeight="1" x14ac:dyDescent="0.2">
      <c r="A51" s="3">
        <v>50</v>
      </c>
      <c r="B51" s="4" t="s">
        <v>148</v>
      </c>
      <c r="C51" s="4" t="s">
        <v>221</v>
      </c>
      <c r="D51" s="4" t="s">
        <v>222</v>
      </c>
      <c r="E51" s="4" t="s">
        <v>223</v>
      </c>
      <c r="F51" s="5">
        <v>1705</v>
      </c>
      <c r="G51" s="3"/>
      <c r="H51" s="3"/>
      <c r="I51" s="3"/>
      <c r="J51" s="3"/>
      <c r="K51" s="3"/>
      <c r="L51" s="3"/>
      <c r="M51" s="3"/>
      <c r="N51" s="3"/>
      <c r="O51" s="3"/>
      <c r="P51" s="3"/>
      <c r="Q51" s="3"/>
      <c r="R51" s="3"/>
      <c r="S51" s="3"/>
      <c r="T51" s="3"/>
      <c r="U51" s="3"/>
      <c r="V51" s="3"/>
      <c r="W51" s="3"/>
      <c r="X51" s="3"/>
      <c r="Y51" s="3" t="s">
        <v>17</v>
      </c>
      <c r="Z51" s="3"/>
      <c r="AA51" s="3"/>
      <c r="AB51" s="3"/>
      <c r="AC51" s="3"/>
      <c r="AD51" s="3"/>
      <c r="AE51" s="3"/>
      <c r="AF51" s="3"/>
      <c r="AG51" s="3"/>
      <c r="AH51" s="3"/>
      <c r="AI51" s="3"/>
      <c r="AJ51" s="3"/>
      <c r="AK51" s="3" t="s">
        <v>17</v>
      </c>
      <c r="AL51" s="3"/>
      <c r="AM51" s="3"/>
      <c r="AN51" s="3"/>
      <c r="AO51" s="3"/>
      <c r="AP51" s="3" t="s">
        <v>17</v>
      </c>
      <c r="AQ51" s="3"/>
      <c r="AR51" s="3">
        <f t="shared" si="3"/>
        <v>3</v>
      </c>
      <c r="AS51" s="3">
        <f t="shared" si="4"/>
        <v>0</v>
      </c>
      <c r="AT51" s="3">
        <f t="shared" si="5"/>
        <v>3</v>
      </c>
      <c r="AU51" s="4" t="s">
        <v>224</v>
      </c>
      <c r="AV51" s="6" t="s">
        <v>20</v>
      </c>
      <c r="AW51" s="6" t="s">
        <v>20</v>
      </c>
      <c r="AX51" s="6" t="s">
        <v>21</v>
      </c>
    </row>
    <row r="52" spans="1:50" ht="15" customHeight="1" x14ac:dyDescent="0.2">
      <c r="A52" s="3">
        <v>51</v>
      </c>
      <c r="B52" s="4" t="s">
        <v>148</v>
      </c>
      <c r="C52" s="4" t="s">
        <v>225</v>
      </c>
      <c r="D52" s="4" t="s">
        <v>226</v>
      </c>
      <c r="E52" s="4" t="s">
        <v>191</v>
      </c>
      <c r="F52" s="5">
        <v>1482</v>
      </c>
      <c r="G52" s="3"/>
      <c r="H52" s="3"/>
      <c r="I52" s="3"/>
      <c r="J52" s="3"/>
      <c r="K52" s="3"/>
      <c r="L52" s="3"/>
      <c r="M52" s="3"/>
      <c r="N52" s="3"/>
      <c r="O52" s="3"/>
      <c r="P52" s="3"/>
      <c r="Q52" s="3"/>
      <c r="R52" s="3"/>
      <c r="S52" s="3"/>
      <c r="T52" s="3"/>
      <c r="U52" s="3"/>
      <c r="V52" s="3"/>
      <c r="W52" s="3"/>
      <c r="X52" s="3"/>
      <c r="Y52" s="3" t="s">
        <v>17</v>
      </c>
      <c r="Z52" s="3"/>
      <c r="AA52" s="3"/>
      <c r="AB52" s="3"/>
      <c r="AC52" s="3" t="s">
        <v>18</v>
      </c>
      <c r="AD52" s="3" t="s">
        <v>18</v>
      </c>
      <c r="AE52" s="3"/>
      <c r="AF52" s="3"/>
      <c r="AG52" s="3"/>
      <c r="AH52" s="3"/>
      <c r="AI52" s="3"/>
      <c r="AJ52" s="3"/>
      <c r="AK52" s="3" t="s">
        <v>17</v>
      </c>
      <c r="AL52" s="3"/>
      <c r="AM52" s="3"/>
      <c r="AN52" s="3"/>
      <c r="AO52" s="3"/>
      <c r="AP52" s="3"/>
      <c r="AQ52" s="3" t="s">
        <v>17</v>
      </c>
      <c r="AR52" s="3">
        <f t="shared" si="3"/>
        <v>3</v>
      </c>
      <c r="AS52" s="3">
        <f t="shared" si="4"/>
        <v>2</v>
      </c>
      <c r="AT52" s="3">
        <f t="shared" si="5"/>
        <v>5</v>
      </c>
      <c r="AU52" s="4" t="s">
        <v>227</v>
      </c>
      <c r="AV52" s="6" t="s">
        <v>20</v>
      </c>
      <c r="AW52" s="6" t="s">
        <v>20</v>
      </c>
      <c r="AX52" s="6" t="s">
        <v>21</v>
      </c>
    </row>
    <row r="53" spans="1:50" ht="15" customHeight="1" x14ac:dyDescent="0.2">
      <c r="A53" s="3">
        <v>52</v>
      </c>
      <c r="B53" s="4" t="s">
        <v>148</v>
      </c>
      <c r="C53" s="4" t="s">
        <v>228</v>
      </c>
      <c r="D53" s="4" t="s">
        <v>229</v>
      </c>
      <c r="E53" s="4" t="s">
        <v>230</v>
      </c>
      <c r="F53" s="5">
        <v>78</v>
      </c>
      <c r="G53" s="3"/>
      <c r="H53" s="3"/>
      <c r="I53" s="3"/>
      <c r="J53" s="3"/>
      <c r="K53" s="3"/>
      <c r="L53" s="3"/>
      <c r="M53" s="3"/>
      <c r="N53" s="3"/>
      <c r="O53" s="3"/>
      <c r="P53" s="3"/>
      <c r="Q53" s="3"/>
      <c r="R53" s="3"/>
      <c r="S53" s="3"/>
      <c r="T53" s="3"/>
      <c r="U53" s="3"/>
      <c r="V53" s="3"/>
      <c r="W53" s="3"/>
      <c r="X53" s="3"/>
      <c r="Y53" s="3" t="s">
        <v>17</v>
      </c>
      <c r="Z53" s="3"/>
      <c r="AA53" s="3"/>
      <c r="AB53" s="3"/>
      <c r="AC53" s="3"/>
      <c r="AD53" s="3"/>
      <c r="AE53" s="3"/>
      <c r="AF53" s="3"/>
      <c r="AG53" s="3"/>
      <c r="AH53" s="3"/>
      <c r="AI53" s="3"/>
      <c r="AJ53" s="3"/>
      <c r="AK53" s="3" t="s">
        <v>17</v>
      </c>
      <c r="AL53" s="3"/>
      <c r="AM53" s="3"/>
      <c r="AN53" s="3"/>
      <c r="AO53" s="3"/>
      <c r="AP53" s="3"/>
      <c r="AQ53" s="3" t="s">
        <v>17</v>
      </c>
      <c r="AR53" s="3">
        <f t="shared" si="3"/>
        <v>3</v>
      </c>
      <c r="AS53" s="3">
        <f t="shared" si="4"/>
        <v>0</v>
      </c>
      <c r="AT53" s="3">
        <f t="shared" si="5"/>
        <v>3</v>
      </c>
      <c r="AU53" s="4" t="s">
        <v>231</v>
      </c>
      <c r="AV53" s="6" t="s">
        <v>20</v>
      </c>
      <c r="AW53" s="6" t="s">
        <v>20</v>
      </c>
      <c r="AX53" s="6" t="s">
        <v>21</v>
      </c>
    </row>
    <row r="54" spans="1:50" ht="15" customHeight="1" x14ac:dyDescent="0.2">
      <c r="A54" s="3">
        <v>53</v>
      </c>
      <c r="B54" s="4" t="s">
        <v>148</v>
      </c>
      <c r="C54" s="4" t="s">
        <v>232</v>
      </c>
      <c r="D54" s="4" t="s">
        <v>233</v>
      </c>
      <c r="E54" s="4" t="s">
        <v>234</v>
      </c>
      <c r="F54" s="5">
        <v>2</v>
      </c>
      <c r="G54" s="3"/>
      <c r="H54" s="3"/>
      <c r="I54" s="3"/>
      <c r="J54" s="3"/>
      <c r="K54" s="3"/>
      <c r="L54" s="3"/>
      <c r="M54" s="3"/>
      <c r="N54" s="3"/>
      <c r="O54" s="3"/>
      <c r="P54" s="3"/>
      <c r="Q54" s="3"/>
      <c r="R54" s="3"/>
      <c r="S54" s="3"/>
      <c r="T54" s="3"/>
      <c r="U54" s="3"/>
      <c r="V54" s="3"/>
      <c r="W54" s="3"/>
      <c r="X54" s="3"/>
      <c r="Y54" s="3" t="s">
        <v>18</v>
      </c>
      <c r="Z54" s="3"/>
      <c r="AA54" s="3" t="s">
        <v>18</v>
      </c>
      <c r="AB54" s="3" t="s">
        <v>18</v>
      </c>
      <c r="AC54" s="3"/>
      <c r="AD54" s="3"/>
      <c r="AE54" s="3"/>
      <c r="AF54" s="3" t="s">
        <v>18</v>
      </c>
      <c r="AG54" s="3"/>
      <c r="AH54" s="3"/>
      <c r="AI54" s="3"/>
      <c r="AJ54" s="3"/>
      <c r="AK54" s="3"/>
      <c r="AL54" s="3"/>
      <c r="AM54" s="3"/>
      <c r="AN54" s="3"/>
      <c r="AO54" s="3"/>
      <c r="AP54" s="3"/>
      <c r="AQ54" s="3"/>
      <c r="AR54" s="3">
        <f t="shared" si="3"/>
        <v>0</v>
      </c>
      <c r="AS54" s="3">
        <f t="shared" si="4"/>
        <v>4</v>
      </c>
      <c r="AT54" s="3">
        <f t="shared" si="5"/>
        <v>4</v>
      </c>
      <c r="AU54" s="4" t="s">
        <v>235</v>
      </c>
      <c r="AV54" s="6" t="s">
        <v>20</v>
      </c>
      <c r="AW54" s="6" t="s">
        <v>236</v>
      </c>
      <c r="AX54" s="6" t="s">
        <v>37</v>
      </c>
    </row>
    <row r="55" spans="1:50" ht="15" customHeight="1" x14ac:dyDescent="0.2">
      <c r="A55" s="3">
        <v>54</v>
      </c>
      <c r="B55" s="4" t="s">
        <v>148</v>
      </c>
      <c r="C55" s="4" t="s">
        <v>237</v>
      </c>
      <c r="D55" s="4" t="s">
        <v>238</v>
      </c>
      <c r="E55" s="4" t="s">
        <v>239</v>
      </c>
      <c r="F55" s="5">
        <v>122</v>
      </c>
      <c r="G55" s="3"/>
      <c r="H55" s="3"/>
      <c r="I55" s="3"/>
      <c r="J55" s="3"/>
      <c r="K55" s="3"/>
      <c r="L55" s="3"/>
      <c r="M55" s="3"/>
      <c r="N55" s="3"/>
      <c r="O55" s="3"/>
      <c r="P55" s="3"/>
      <c r="Q55" s="3"/>
      <c r="R55" s="3"/>
      <c r="S55" s="3"/>
      <c r="T55" s="3"/>
      <c r="U55" s="3"/>
      <c r="V55" s="3"/>
      <c r="W55" s="3"/>
      <c r="X55" s="3"/>
      <c r="Y55" s="3" t="s">
        <v>17</v>
      </c>
      <c r="Z55" s="3"/>
      <c r="AA55" s="3"/>
      <c r="AB55" s="3"/>
      <c r="AC55" s="3" t="s">
        <v>17</v>
      </c>
      <c r="AD55" s="3"/>
      <c r="AE55" s="3" t="s">
        <v>18</v>
      </c>
      <c r="AF55" s="3" t="s">
        <v>18</v>
      </c>
      <c r="AG55" s="3"/>
      <c r="AH55" s="3"/>
      <c r="AI55" s="3"/>
      <c r="AJ55" s="3"/>
      <c r="AK55" s="3" t="s">
        <v>17</v>
      </c>
      <c r="AL55" s="3"/>
      <c r="AM55" s="3"/>
      <c r="AN55" s="3"/>
      <c r="AO55" s="3"/>
      <c r="AP55" s="3" t="s">
        <v>18</v>
      </c>
      <c r="AQ55" s="3" t="s">
        <v>17</v>
      </c>
      <c r="AR55" s="3">
        <f t="shared" si="3"/>
        <v>4</v>
      </c>
      <c r="AS55" s="3">
        <f t="shared" si="4"/>
        <v>3</v>
      </c>
      <c r="AT55" s="3">
        <f t="shared" si="5"/>
        <v>7</v>
      </c>
      <c r="AU55" s="4" t="s">
        <v>240</v>
      </c>
      <c r="AV55" s="6" t="s">
        <v>20</v>
      </c>
      <c r="AW55" s="6" t="s">
        <v>20</v>
      </c>
      <c r="AX55" s="6" t="s">
        <v>21</v>
      </c>
    </row>
    <row r="56" spans="1:50" ht="15" customHeight="1" x14ac:dyDescent="0.2">
      <c r="A56" s="3">
        <v>55</v>
      </c>
      <c r="B56" s="4" t="s">
        <v>148</v>
      </c>
      <c r="C56" s="4" t="s">
        <v>241</v>
      </c>
      <c r="D56" s="4" t="s">
        <v>242</v>
      </c>
      <c r="E56" s="4" t="s">
        <v>243</v>
      </c>
      <c r="F56" s="5">
        <v>2126</v>
      </c>
      <c r="G56" s="3"/>
      <c r="H56" s="3"/>
      <c r="I56" s="3"/>
      <c r="J56" s="3"/>
      <c r="K56" s="3"/>
      <c r="L56" s="3"/>
      <c r="M56" s="3"/>
      <c r="N56" s="3"/>
      <c r="O56" s="3"/>
      <c r="P56" s="3"/>
      <c r="Q56" s="3"/>
      <c r="R56" s="3"/>
      <c r="S56" s="3"/>
      <c r="T56" s="3"/>
      <c r="U56" s="3"/>
      <c r="V56" s="3"/>
      <c r="W56" s="3"/>
      <c r="X56" s="3"/>
      <c r="Y56" s="3" t="s">
        <v>17</v>
      </c>
      <c r="Z56" s="3"/>
      <c r="AA56" s="3"/>
      <c r="AB56" s="3"/>
      <c r="AC56" s="3"/>
      <c r="AD56" s="3" t="s">
        <v>18</v>
      </c>
      <c r="AE56" s="3"/>
      <c r="AF56" s="3"/>
      <c r="AG56" s="3"/>
      <c r="AH56" s="3"/>
      <c r="AI56" s="3"/>
      <c r="AJ56" s="3"/>
      <c r="AK56" s="3"/>
      <c r="AL56" s="3"/>
      <c r="AM56" s="3"/>
      <c r="AN56" s="3"/>
      <c r="AO56" s="3"/>
      <c r="AP56" s="3"/>
      <c r="AQ56" s="3" t="s">
        <v>17</v>
      </c>
      <c r="AR56" s="3">
        <f t="shared" si="3"/>
        <v>2</v>
      </c>
      <c r="AS56" s="3">
        <f t="shared" si="4"/>
        <v>1</v>
      </c>
      <c r="AT56" s="3">
        <f t="shared" si="5"/>
        <v>3</v>
      </c>
      <c r="AU56" s="4" t="s">
        <v>244</v>
      </c>
      <c r="AV56" s="6" t="s">
        <v>20</v>
      </c>
      <c r="AW56" s="6" t="s">
        <v>211</v>
      </c>
      <c r="AX56" s="6" t="s">
        <v>37</v>
      </c>
    </row>
    <row r="57" spans="1:50" ht="15" customHeight="1" x14ac:dyDescent="0.2">
      <c r="A57" s="3">
        <v>56</v>
      </c>
      <c r="B57" s="4" t="s">
        <v>148</v>
      </c>
      <c r="C57" s="4" t="s">
        <v>245</v>
      </c>
      <c r="D57" s="4" t="s">
        <v>246</v>
      </c>
      <c r="E57" s="4" t="s">
        <v>247</v>
      </c>
      <c r="F57" s="5">
        <v>129</v>
      </c>
      <c r="G57" s="3"/>
      <c r="H57" s="3"/>
      <c r="I57" s="3"/>
      <c r="J57" s="3"/>
      <c r="K57" s="3"/>
      <c r="L57" s="3"/>
      <c r="M57" s="3"/>
      <c r="N57" s="3"/>
      <c r="O57" s="3"/>
      <c r="P57" s="3"/>
      <c r="Q57" s="3"/>
      <c r="R57" s="3"/>
      <c r="S57" s="3"/>
      <c r="T57" s="3"/>
      <c r="U57" s="3"/>
      <c r="V57" s="3"/>
      <c r="W57" s="3" t="s">
        <v>17</v>
      </c>
      <c r="X57" s="3"/>
      <c r="Y57" s="3" t="s">
        <v>17</v>
      </c>
      <c r="Z57" s="3"/>
      <c r="AA57" s="3"/>
      <c r="AB57" s="3"/>
      <c r="AC57" s="3" t="s">
        <v>17</v>
      </c>
      <c r="AD57" s="3"/>
      <c r="AE57" s="3"/>
      <c r="AF57" s="3"/>
      <c r="AG57" s="3"/>
      <c r="AH57" s="3"/>
      <c r="AI57" s="3"/>
      <c r="AJ57" s="3"/>
      <c r="AK57" s="3" t="s">
        <v>17</v>
      </c>
      <c r="AL57" s="3" t="s">
        <v>18</v>
      </c>
      <c r="AM57" s="3" t="s">
        <v>18</v>
      </c>
      <c r="AN57" s="3"/>
      <c r="AO57" s="3" t="s">
        <v>18</v>
      </c>
      <c r="AP57" s="3" t="s">
        <v>17</v>
      </c>
      <c r="AQ57" s="3" t="s">
        <v>18</v>
      </c>
      <c r="AR57" s="3">
        <f t="shared" si="3"/>
        <v>5</v>
      </c>
      <c r="AS57" s="3">
        <f t="shared" si="4"/>
        <v>4</v>
      </c>
      <c r="AT57" s="3">
        <f t="shared" si="5"/>
        <v>9</v>
      </c>
      <c r="AU57" s="4" t="s">
        <v>248</v>
      </c>
      <c r="AV57" s="6" t="s">
        <v>20</v>
      </c>
      <c r="AW57" s="6" t="s">
        <v>20</v>
      </c>
      <c r="AX57" s="6" t="s">
        <v>21</v>
      </c>
    </row>
    <row r="58" spans="1:50" ht="15" customHeight="1" x14ac:dyDescent="0.2">
      <c r="A58" s="3">
        <v>57</v>
      </c>
      <c r="B58" s="4" t="s">
        <v>249</v>
      </c>
      <c r="C58" s="4" t="s">
        <v>250</v>
      </c>
      <c r="D58" s="4" t="s">
        <v>251</v>
      </c>
      <c r="E58" s="4" t="s">
        <v>252</v>
      </c>
      <c r="F58" s="5">
        <v>45</v>
      </c>
      <c r="G58" s="3"/>
      <c r="H58" s="3"/>
      <c r="I58" s="3"/>
      <c r="J58" s="3"/>
      <c r="K58" s="3"/>
      <c r="L58" s="3"/>
      <c r="M58" s="3"/>
      <c r="N58" s="3"/>
      <c r="O58" s="3"/>
      <c r="P58" s="3"/>
      <c r="Q58" s="3"/>
      <c r="R58" s="3"/>
      <c r="S58" s="3"/>
      <c r="T58" s="3"/>
      <c r="U58" s="3" t="s">
        <v>17</v>
      </c>
      <c r="V58" s="3"/>
      <c r="W58" s="3"/>
      <c r="X58" s="3"/>
      <c r="Y58" s="3" t="s">
        <v>18</v>
      </c>
      <c r="Z58" s="3"/>
      <c r="AA58" s="3"/>
      <c r="AB58" s="3" t="s">
        <v>18</v>
      </c>
      <c r="AC58" s="3" t="s">
        <v>17</v>
      </c>
      <c r="AD58" s="3" t="s">
        <v>18</v>
      </c>
      <c r="AE58" s="3" t="s">
        <v>18</v>
      </c>
      <c r="AF58" s="3" t="s">
        <v>18</v>
      </c>
      <c r="AG58" s="3" t="s">
        <v>18</v>
      </c>
      <c r="AH58" s="3"/>
      <c r="AI58" s="3"/>
      <c r="AJ58" s="3"/>
      <c r="AK58" s="3"/>
      <c r="AL58" s="3"/>
      <c r="AM58" s="3"/>
      <c r="AN58" s="3"/>
      <c r="AO58" s="3"/>
      <c r="AP58" s="3" t="s">
        <v>17</v>
      </c>
      <c r="AQ58" s="3"/>
      <c r="AR58" s="3">
        <f t="shared" si="3"/>
        <v>3</v>
      </c>
      <c r="AS58" s="3">
        <f t="shared" si="4"/>
        <v>6</v>
      </c>
      <c r="AT58" s="3">
        <f t="shared" si="5"/>
        <v>9</v>
      </c>
      <c r="AU58" s="4" t="s">
        <v>253</v>
      </c>
      <c r="AV58" s="6" t="s">
        <v>20</v>
      </c>
      <c r="AW58" s="6" t="s">
        <v>20</v>
      </c>
      <c r="AX58" s="6" t="s">
        <v>21</v>
      </c>
    </row>
    <row r="59" spans="1:50" ht="15" customHeight="1" x14ac:dyDescent="0.2">
      <c r="A59" s="3">
        <v>58</v>
      </c>
      <c r="B59" s="4" t="s">
        <v>249</v>
      </c>
      <c r="C59" s="4" t="s">
        <v>254</v>
      </c>
      <c r="D59" s="4" t="s">
        <v>255</v>
      </c>
      <c r="E59" s="4" t="s">
        <v>256</v>
      </c>
      <c r="F59" s="5">
        <v>19</v>
      </c>
      <c r="G59" s="3"/>
      <c r="H59" s="3"/>
      <c r="I59" s="3"/>
      <c r="J59" s="3" t="s">
        <v>17</v>
      </c>
      <c r="K59" s="3"/>
      <c r="L59" s="3"/>
      <c r="M59" s="3"/>
      <c r="N59" s="3"/>
      <c r="O59" s="3"/>
      <c r="P59" s="3"/>
      <c r="Q59" s="3"/>
      <c r="R59" s="3"/>
      <c r="S59" s="3"/>
      <c r="T59" s="3"/>
      <c r="U59" s="3"/>
      <c r="V59" s="3"/>
      <c r="W59" s="3"/>
      <c r="X59" s="3"/>
      <c r="Y59" s="3" t="s">
        <v>17</v>
      </c>
      <c r="Z59" s="3"/>
      <c r="AA59" s="3"/>
      <c r="AB59" s="3"/>
      <c r="AC59" s="3"/>
      <c r="AD59" s="3"/>
      <c r="AE59" s="3"/>
      <c r="AF59" s="3"/>
      <c r="AG59" s="3"/>
      <c r="AH59" s="3"/>
      <c r="AI59" s="3"/>
      <c r="AJ59" s="3"/>
      <c r="AK59" s="3"/>
      <c r="AL59" s="3"/>
      <c r="AM59" s="3"/>
      <c r="AN59" s="3"/>
      <c r="AO59" s="3"/>
      <c r="AP59" s="3" t="s">
        <v>18</v>
      </c>
      <c r="AQ59" s="3"/>
      <c r="AR59" s="3">
        <f t="shared" si="3"/>
        <v>2</v>
      </c>
      <c r="AS59" s="3">
        <f t="shared" si="4"/>
        <v>1</v>
      </c>
      <c r="AT59" s="3">
        <f t="shared" si="5"/>
        <v>3</v>
      </c>
      <c r="AU59" s="4" t="s">
        <v>257</v>
      </c>
      <c r="AV59" s="6" t="s">
        <v>20</v>
      </c>
      <c r="AW59" s="6" t="s">
        <v>20</v>
      </c>
      <c r="AX59" s="6" t="s">
        <v>21</v>
      </c>
    </row>
    <row r="60" spans="1:50" ht="15" customHeight="1" x14ac:dyDescent="0.2">
      <c r="A60" s="3">
        <v>59</v>
      </c>
      <c r="B60" s="4" t="s">
        <v>249</v>
      </c>
      <c r="C60" s="4" t="s">
        <v>258</v>
      </c>
      <c r="D60" s="4" t="s">
        <v>259</v>
      </c>
      <c r="E60" s="4" t="s">
        <v>260</v>
      </c>
      <c r="F60" s="5">
        <v>82</v>
      </c>
      <c r="G60" s="3"/>
      <c r="H60" s="3"/>
      <c r="I60" s="3"/>
      <c r="J60" s="3"/>
      <c r="K60" s="3"/>
      <c r="L60" s="3"/>
      <c r="M60" s="3"/>
      <c r="N60" s="3"/>
      <c r="O60" s="3"/>
      <c r="P60" s="3"/>
      <c r="Q60" s="3"/>
      <c r="R60" s="3"/>
      <c r="S60" s="3"/>
      <c r="T60" s="3"/>
      <c r="U60" s="3" t="s">
        <v>18</v>
      </c>
      <c r="V60" s="3" t="s">
        <v>18</v>
      </c>
      <c r="W60" s="3"/>
      <c r="X60" s="3" t="s">
        <v>18</v>
      </c>
      <c r="Y60" s="3" t="s">
        <v>17</v>
      </c>
      <c r="Z60" s="3"/>
      <c r="AA60" s="3"/>
      <c r="AB60" s="3" t="s">
        <v>18</v>
      </c>
      <c r="AC60" s="3"/>
      <c r="AD60" s="3" t="s">
        <v>17</v>
      </c>
      <c r="AE60" s="3"/>
      <c r="AF60" s="3"/>
      <c r="AG60" s="3" t="s">
        <v>18</v>
      </c>
      <c r="AH60" s="3"/>
      <c r="AI60" s="3"/>
      <c r="AJ60" s="3"/>
      <c r="AK60" s="3" t="s">
        <v>17</v>
      </c>
      <c r="AL60" s="3"/>
      <c r="AM60" s="3"/>
      <c r="AN60" s="3" t="s">
        <v>17</v>
      </c>
      <c r="AO60" s="3" t="s">
        <v>17</v>
      </c>
      <c r="AP60" s="3" t="s">
        <v>17</v>
      </c>
      <c r="AQ60" s="3" t="s">
        <v>17</v>
      </c>
      <c r="AR60" s="3">
        <f t="shared" si="3"/>
        <v>7</v>
      </c>
      <c r="AS60" s="3">
        <f t="shared" si="4"/>
        <v>5</v>
      </c>
      <c r="AT60" s="3">
        <f t="shared" si="5"/>
        <v>12</v>
      </c>
      <c r="AU60" s="4" t="s">
        <v>261</v>
      </c>
      <c r="AV60" s="6" t="s">
        <v>20</v>
      </c>
      <c r="AW60" s="6" t="s">
        <v>20</v>
      </c>
      <c r="AX60" s="6" t="s">
        <v>21</v>
      </c>
    </row>
    <row r="61" spans="1:50" ht="15" customHeight="1" x14ac:dyDescent="0.2">
      <c r="A61" s="3">
        <v>60</v>
      </c>
      <c r="B61" s="4" t="s">
        <v>249</v>
      </c>
      <c r="C61" s="4" t="s">
        <v>262</v>
      </c>
      <c r="D61" s="4" t="s">
        <v>263</v>
      </c>
      <c r="E61" s="4" t="s">
        <v>264</v>
      </c>
      <c r="F61" s="5">
        <v>255</v>
      </c>
      <c r="G61" s="3"/>
      <c r="H61" s="3"/>
      <c r="I61" s="3"/>
      <c r="J61" s="3"/>
      <c r="K61" s="3"/>
      <c r="L61" s="3"/>
      <c r="M61" s="3"/>
      <c r="N61" s="3"/>
      <c r="O61" s="3"/>
      <c r="P61" s="3"/>
      <c r="Q61" s="3"/>
      <c r="R61" s="3" t="s">
        <v>17</v>
      </c>
      <c r="S61" s="3"/>
      <c r="T61" s="3"/>
      <c r="U61" s="3" t="s">
        <v>17</v>
      </c>
      <c r="V61" s="3"/>
      <c r="W61" s="3"/>
      <c r="X61" s="3"/>
      <c r="Y61" s="3" t="s">
        <v>18</v>
      </c>
      <c r="Z61" s="3"/>
      <c r="AA61" s="3" t="s">
        <v>17</v>
      </c>
      <c r="AB61" s="3"/>
      <c r="AC61" s="3"/>
      <c r="AD61" s="3"/>
      <c r="AE61" s="3"/>
      <c r="AF61" s="3"/>
      <c r="AG61" s="3" t="s">
        <v>18</v>
      </c>
      <c r="AH61" s="3"/>
      <c r="AI61" s="3"/>
      <c r="AJ61" s="3" t="s">
        <v>18</v>
      </c>
      <c r="AK61" s="3"/>
      <c r="AL61" s="3"/>
      <c r="AM61" s="3"/>
      <c r="AN61" s="3"/>
      <c r="AO61" s="3"/>
      <c r="AP61" s="3"/>
      <c r="AQ61" s="3" t="s">
        <v>17</v>
      </c>
      <c r="AR61" s="3">
        <f t="shared" si="3"/>
        <v>4</v>
      </c>
      <c r="AS61" s="3">
        <f t="shared" si="4"/>
        <v>3</v>
      </c>
      <c r="AT61" s="3">
        <f t="shared" si="5"/>
        <v>7</v>
      </c>
      <c r="AU61" s="4" t="s">
        <v>265</v>
      </c>
      <c r="AV61" s="6" t="s">
        <v>20</v>
      </c>
      <c r="AW61" s="6" t="s">
        <v>20</v>
      </c>
      <c r="AX61" s="6" t="s">
        <v>21</v>
      </c>
    </row>
    <row r="62" spans="1:50" ht="15" customHeight="1" x14ac:dyDescent="0.2">
      <c r="A62" s="3">
        <v>61</v>
      </c>
      <c r="B62" s="4" t="s">
        <v>249</v>
      </c>
      <c r="C62" s="4" t="s">
        <v>266</v>
      </c>
      <c r="D62" s="4" t="s">
        <v>267</v>
      </c>
      <c r="E62" s="4" t="s">
        <v>268</v>
      </c>
      <c r="F62" s="5">
        <v>55</v>
      </c>
      <c r="G62" s="3"/>
      <c r="H62" s="3"/>
      <c r="I62" s="3"/>
      <c r="J62" s="3" t="s">
        <v>17</v>
      </c>
      <c r="K62" s="3"/>
      <c r="L62" s="3"/>
      <c r="M62" s="3"/>
      <c r="N62" s="3" t="s">
        <v>17</v>
      </c>
      <c r="O62" s="3"/>
      <c r="P62" s="3"/>
      <c r="Q62" s="3"/>
      <c r="R62" s="3" t="s">
        <v>17</v>
      </c>
      <c r="S62" s="3" t="s">
        <v>18</v>
      </c>
      <c r="T62" s="3"/>
      <c r="U62" s="3"/>
      <c r="V62" s="3"/>
      <c r="W62" s="3"/>
      <c r="X62" s="3"/>
      <c r="Y62" s="3" t="s">
        <v>17</v>
      </c>
      <c r="Z62" s="3"/>
      <c r="AA62" s="3"/>
      <c r="AB62" s="3"/>
      <c r="AC62" s="3"/>
      <c r="AD62" s="3"/>
      <c r="AE62" s="3"/>
      <c r="AF62" s="3"/>
      <c r="AG62" s="3"/>
      <c r="AH62" s="3"/>
      <c r="AI62" s="3"/>
      <c r="AJ62" s="3"/>
      <c r="AK62" s="3"/>
      <c r="AL62" s="3"/>
      <c r="AM62" s="3"/>
      <c r="AN62" s="3"/>
      <c r="AO62" s="3"/>
      <c r="AP62" s="3"/>
      <c r="AQ62" s="3"/>
      <c r="AR62" s="3">
        <f t="shared" si="3"/>
        <v>4</v>
      </c>
      <c r="AS62" s="3">
        <f t="shared" si="4"/>
        <v>1</v>
      </c>
      <c r="AT62" s="3">
        <f t="shared" si="5"/>
        <v>5</v>
      </c>
      <c r="AU62" s="4" t="s">
        <v>269</v>
      </c>
      <c r="AV62" s="6" t="s">
        <v>20</v>
      </c>
      <c r="AW62" s="6" t="s">
        <v>270</v>
      </c>
      <c r="AX62" s="6" t="s">
        <v>37</v>
      </c>
    </row>
    <row r="63" spans="1:50" ht="15" customHeight="1" x14ac:dyDescent="0.2">
      <c r="A63" s="3">
        <v>62</v>
      </c>
      <c r="B63" s="4" t="s">
        <v>249</v>
      </c>
      <c r="C63" s="4" t="s">
        <v>271</v>
      </c>
      <c r="D63" s="4" t="s">
        <v>272</v>
      </c>
      <c r="E63" s="4" t="s">
        <v>273</v>
      </c>
      <c r="F63" s="5"/>
      <c r="G63" s="3"/>
      <c r="H63" s="3"/>
      <c r="I63" s="3"/>
      <c r="J63" s="3"/>
      <c r="K63" s="3"/>
      <c r="L63" s="3"/>
      <c r="M63" s="3"/>
      <c r="N63" s="3"/>
      <c r="O63" s="3"/>
      <c r="P63" s="3"/>
      <c r="Q63" s="3"/>
      <c r="R63" s="3"/>
      <c r="S63" s="3"/>
      <c r="T63" s="3"/>
      <c r="U63" s="3"/>
      <c r="V63" s="3"/>
      <c r="W63" s="3"/>
      <c r="X63" s="3"/>
      <c r="Y63" s="3" t="s">
        <v>17</v>
      </c>
      <c r="Z63" s="3"/>
      <c r="AA63" s="3"/>
      <c r="AB63" s="3"/>
      <c r="AC63" s="3"/>
      <c r="AD63" s="3"/>
      <c r="AE63" s="3"/>
      <c r="AF63" s="3"/>
      <c r="AG63" s="3"/>
      <c r="AH63" s="3"/>
      <c r="AI63" s="3"/>
      <c r="AJ63" s="3"/>
      <c r="AK63" s="3"/>
      <c r="AL63" s="3"/>
      <c r="AM63" s="3"/>
      <c r="AN63" s="3"/>
      <c r="AO63" s="3"/>
      <c r="AP63" s="3"/>
      <c r="AQ63" s="3"/>
      <c r="AR63" s="3">
        <f t="shared" si="3"/>
        <v>1</v>
      </c>
      <c r="AS63" s="3">
        <f t="shared" si="4"/>
        <v>0</v>
      </c>
      <c r="AT63" s="3">
        <f t="shared" si="5"/>
        <v>1</v>
      </c>
      <c r="AU63" s="4" t="s">
        <v>274</v>
      </c>
      <c r="AV63" s="6" t="s">
        <v>20</v>
      </c>
      <c r="AW63" s="6" t="s">
        <v>20</v>
      </c>
      <c r="AX63" s="6" t="s">
        <v>21</v>
      </c>
    </row>
    <row r="64" spans="1:50" ht="15" customHeight="1" x14ac:dyDescent="0.2">
      <c r="A64" s="3">
        <v>63</v>
      </c>
      <c r="B64" s="4" t="s">
        <v>249</v>
      </c>
      <c r="C64" s="4" t="s">
        <v>275</v>
      </c>
      <c r="D64" s="4" t="s">
        <v>276</v>
      </c>
      <c r="E64" s="4" t="s">
        <v>277</v>
      </c>
      <c r="F64" s="5">
        <v>2325</v>
      </c>
      <c r="G64" s="3"/>
      <c r="H64" s="3"/>
      <c r="I64" s="3"/>
      <c r="J64" s="3"/>
      <c r="K64" s="3"/>
      <c r="L64" s="3"/>
      <c r="M64" s="3"/>
      <c r="N64" s="3"/>
      <c r="O64" s="3"/>
      <c r="P64" s="3"/>
      <c r="Q64" s="3"/>
      <c r="R64" s="3"/>
      <c r="S64" s="3"/>
      <c r="T64" s="3"/>
      <c r="U64" s="3"/>
      <c r="V64" s="3"/>
      <c r="W64" s="3"/>
      <c r="X64" s="3"/>
      <c r="Y64" s="3"/>
      <c r="Z64" s="3"/>
      <c r="AA64" s="3" t="s">
        <v>17</v>
      </c>
      <c r="AB64" s="3"/>
      <c r="AC64" s="3" t="s">
        <v>17</v>
      </c>
      <c r="AD64" s="3"/>
      <c r="AE64" s="3"/>
      <c r="AF64" s="3"/>
      <c r="AG64" s="3" t="s">
        <v>18</v>
      </c>
      <c r="AH64" s="3"/>
      <c r="AI64" s="3"/>
      <c r="AJ64" s="3"/>
      <c r="AK64" s="3"/>
      <c r="AL64" s="3"/>
      <c r="AM64" s="3"/>
      <c r="AN64" s="3"/>
      <c r="AO64" s="3"/>
      <c r="AP64" s="3"/>
      <c r="AQ64" s="3" t="s">
        <v>17</v>
      </c>
      <c r="AR64" s="3">
        <f t="shared" si="3"/>
        <v>3</v>
      </c>
      <c r="AS64" s="3">
        <f t="shared" si="4"/>
        <v>1</v>
      </c>
      <c r="AT64" s="3">
        <f t="shared" si="5"/>
        <v>4</v>
      </c>
      <c r="AU64" s="4" t="s">
        <v>278</v>
      </c>
      <c r="AV64" s="6" t="s">
        <v>20</v>
      </c>
      <c r="AW64" s="6" t="s">
        <v>20</v>
      </c>
      <c r="AX64" s="6" t="s">
        <v>21</v>
      </c>
    </row>
    <row r="65" spans="1:50" ht="15" customHeight="1" x14ac:dyDescent="0.2">
      <c r="A65" s="3">
        <v>64</v>
      </c>
      <c r="B65" s="4" t="s">
        <v>249</v>
      </c>
      <c r="C65" s="4" t="s">
        <v>279</v>
      </c>
      <c r="D65" s="4" t="s">
        <v>276</v>
      </c>
      <c r="E65" s="4" t="s">
        <v>280</v>
      </c>
      <c r="F65" s="5">
        <v>416</v>
      </c>
      <c r="G65" s="3"/>
      <c r="H65" s="3"/>
      <c r="I65" s="3"/>
      <c r="J65" s="3"/>
      <c r="K65" s="3" t="s">
        <v>17</v>
      </c>
      <c r="L65" s="3"/>
      <c r="M65" s="3"/>
      <c r="N65" s="3" t="s">
        <v>17</v>
      </c>
      <c r="O65" s="3"/>
      <c r="P65" s="3"/>
      <c r="Q65" s="3"/>
      <c r="R65" s="3" t="s">
        <v>17</v>
      </c>
      <c r="S65" s="3"/>
      <c r="T65" s="3"/>
      <c r="U65" s="3" t="s">
        <v>17</v>
      </c>
      <c r="V65" s="3"/>
      <c r="W65" s="3"/>
      <c r="X65" s="3" t="s">
        <v>18</v>
      </c>
      <c r="Y65" s="3" t="s">
        <v>18</v>
      </c>
      <c r="Z65" s="3"/>
      <c r="AA65" s="3"/>
      <c r="AB65" s="3" t="s">
        <v>18</v>
      </c>
      <c r="AC65" s="3" t="s">
        <v>17</v>
      </c>
      <c r="AD65" s="3" t="s">
        <v>17</v>
      </c>
      <c r="AE65" s="3"/>
      <c r="AF65" s="3"/>
      <c r="AG65" s="3"/>
      <c r="AH65" s="3" t="s">
        <v>17</v>
      </c>
      <c r="AI65" s="3"/>
      <c r="AJ65" s="3" t="s">
        <v>17</v>
      </c>
      <c r="AK65" s="3"/>
      <c r="AL65" s="3"/>
      <c r="AM65" s="3"/>
      <c r="AN65" s="3"/>
      <c r="AO65" s="3"/>
      <c r="AP65" s="3"/>
      <c r="AQ65" s="3" t="s">
        <v>17</v>
      </c>
      <c r="AR65" s="3">
        <f t="shared" si="3"/>
        <v>9</v>
      </c>
      <c r="AS65" s="3">
        <f t="shared" si="4"/>
        <v>3</v>
      </c>
      <c r="AT65" s="3">
        <f t="shared" si="5"/>
        <v>12</v>
      </c>
      <c r="AU65" s="4" t="s">
        <v>281</v>
      </c>
      <c r="AV65" s="6" t="s">
        <v>20</v>
      </c>
      <c r="AW65" s="6" t="s">
        <v>20</v>
      </c>
      <c r="AX65" s="6" t="s">
        <v>21</v>
      </c>
    </row>
    <row r="66" spans="1:50" ht="15" customHeight="1" x14ac:dyDescent="0.2">
      <c r="A66" s="3">
        <v>65</v>
      </c>
      <c r="B66" s="4" t="s">
        <v>249</v>
      </c>
      <c r="C66" s="4" t="s">
        <v>282</v>
      </c>
      <c r="D66" s="4" t="s">
        <v>85</v>
      </c>
      <c r="E66" s="4" t="s">
        <v>283</v>
      </c>
      <c r="F66" s="5">
        <v>126</v>
      </c>
      <c r="G66" s="3"/>
      <c r="H66" s="3"/>
      <c r="I66" s="3"/>
      <c r="J66" s="3" t="s">
        <v>17</v>
      </c>
      <c r="K66" s="3"/>
      <c r="L66" s="3"/>
      <c r="M66" s="3"/>
      <c r="N66" s="3" t="s">
        <v>17</v>
      </c>
      <c r="O66" s="3"/>
      <c r="P66" s="3"/>
      <c r="Q66" s="3"/>
      <c r="R66" s="3"/>
      <c r="S66" s="3"/>
      <c r="T66" s="3"/>
      <c r="U66" s="3"/>
      <c r="V66" s="3"/>
      <c r="W66" s="3"/>
      <c r="X66" s="3"/>
      <c r="Y66" s="3" t="s">
        <v>17</v>
      </c>
      <c r="Z66" s="3"/>
      <c r="AA66" s="3"/>
      <c r="AB66" s="3"/>
      <c r="AC66" s="3"/>
      <c r="AD66" s="3"/>
      <c r="AE66" s="3"/>
      <c r="AF66" s="3"/>
      <c r="AG66" s="3"/>
      <c r="AH66" s="3"/>
      <c r="AI66" s="3"/>
      <c r="AJ66" s="3"/>
      <c r="AK66" s="3"/>
      <c r="AL66" s="3"/>
      <c r="AM66" s="3"/>
      <c r="AN66" s="3"/>
      <c r="AO66" s="3"/>
      <c r="AP66" s="3"/>
      <c r="AQ66" s="3"/>
      <c r="AR66" s="3">
        <f t="shared" ref="AR66:AR97" si="6">COUNTIF(G66:AQ66,"S")</f>
        <v>3</v>
      </c>
      <c r="AS66" s="3">
        <f t="shared" ref="AS66:AS101" si="7">COUNTIF(G66:AQ66,"M")</f>
        <v>0</v>
      </c>
      <c r="AT66" s="3">
        <f t="shared" ref="AT66:AT97" si="8">AR66+AS66</f>
        <v>3</v>
      </c>
      <c r="AU66" s="4" t="s">
        <v>284</v>
      </c>
      <c r="AV66" s="6" t="s">
        <v>20</v>
      </c>
      <c r="AW66" s="6" t="s">
        <v>20</v>
      </c>
      <c r="AX66" s="6" t="s">
        <v>21</v>
      </c>
    </row>
    <row r="67" spans="1:50" ht="15" customHeight="1" x14ac:dyDescent="0.2">
      <c r="A67" s="3">
        <v>66</v>
      </c>
      <c r="B67" s="4" t="s">
        <v>249</v>
      </c>
      <c r="C67" s="4" t="s">
        <v>285</v>
      </c>
      <c r="D67" s="4" t="s">
        <v>286</v>
      </c>
      <c r="E67" s="4" t="s">
        <v>287</v>
      </c>
      <c r="F67" s="5">
        <v>138</v>
      </c>
      <c r="G67" s="3"/>
      <c r="H67" s="3"/>
      <c r="I67" s="3"/>
      <c r="J67" s="3"/>
      <c r="K67" s="3"/>
      <c r="L67" s="3"/>
      <c r="M67" s="3"/>
      <c r="N67" s="3"/>
      <c r="O67" s="3"/>
      <c r="P67" s="3"/>
      <c r="Q67" s="3"/>
      <c r="R67" s="3"/>
      <c r="S67" s="3"/>
      <c r="T67" s="3"/>
      <c r="U67" s="3" t="s">
        <v>17</v>
      </c>
      <c r="V67" s="3"/>
      <c r="W67" s="3" t="s">
        <v>17</v>
      </c>
      <c r="X67" s="3"/>
      <c r="Y67" s="3"/>
      <c r="Z67" s="3"/>
      <c r="AA67" s="3"/>
      <c r="AB67" s="3"/>
      <c r="AC67" s="3"/>
      <c r="AD67" s="3"/>
      <c r="AE67" s="3"/>
      <c r="AF67" s="3"/>
      <c r="AG67" s="3" t="s">
        <v>17</v>
      </c>
      <c r="AH67" s="3" t="s">
        <v>17</v>
      </c>
      <c r="AI67" s="3"/>
      <c r="AJ67" s="3"/>
      <c r="AK67" s="3" t="s">
        <v>18</v>
      </c>
      <c r="AL67" s="3" t="s">
        <v>18</v>
      </c>
      <c r="AM67" s="3" t="s">
        <v>18</v>
      </c>
      <c r="AN67" s="3" t="s">
        <v>17</v>
      </c>
      <c r="AO67" s="3" t="s">
        <v>17</v>
      </c>
      <c r="AP67" s="3" t="s">
        <v>17</v>
      </c>
      <c r="AQ67" s="3" t="s">
        <v>17</v>
      </c>
      <c r="AR67" s="3">
        <f t="shared" si="6"/>
        <v>8</v>
      </c>
      <c r="AS67" s="3">
        <f t="shared" si="7"/>
        <v>3</v>
      </c>
      <c r="AT67" s="3">
        <f t="shared" si="8"/>
        <v>11</v>
      </c>
      <c r="AU67" s="4" t="s">
        <v>288</v>
      </c>
      <c r="AV67" s="6" t="s">
        <v>20</v>
      </c>
      <c r="AW67" s="6" t="s">
        <v>20</v>
      </c>
      <c r="AX67" s="6" t="s">
        <v>21</v>
      </c>
    </row>
    <row r="68" spans="1:50" ht="15" customHeight="1" x14ac:dyDescent="0.2">
      <c r="A68" s="3">
        <v>67</v>
      </c>
      <c r="B68" s="4" t="s">
        <v>249</v>
      </c>
      <c r="C68" s="4" t="s">
        <v>289</v>
      </c>
      <c r="D68" s="4" t="s">
        <v>290</v>
      </c>
      <c r="E68" s="4" t="s">
        <v>291</v>
      </c>
      <c r="F68" s="5">
        <v>788</v>
      </c>
      <c r="G68" s="3"/>
      <c r="H68" s="3"/>
      <c r="I68" s="3"/>
      <c r="J68" s="3"/>
      <c r="K68" s="3"/>
      <c r="L68" s="3"/>
      <c r="M68" s="3" t="s">
        <v>18</v>
      </c>
      <c r="N68" s="3" t="s">
        <v>17</v>
      </c>
      <c r="O68" s="3" t="s">
        <v>18</v>
      </c>
      <c r="P68" s="3"/>
      <c r="Q68" s="3"/>
      <c r="R68" s="3"/>
      <c r="S68" s="3"/>
      <c r="T68" s="3"/>
      <c r="U68" s="3"/>
      <c r="V68" s="3"/>
      <c r="W68" s="3" t="s">
        <v>17</v>
      </c>
      <c r="X68" s="3"/>
      <c r="Y68" s="3"/>
      <c r="Z68" s="3"/>
      <c r="AA68" s="3"/>
      <c r="AB68" s="3"/>
      <c r="AC68" s="3"/>
      <c r="AD68" s="3"/>
      <c r="AE68" s="3" t="s">
        <v>17</v>
      </c>
      <c r="AF68" s="3"/>
      <c r="AG68" s="3"/>
      <c r="AH68" s="3"/>
      <c r="AI68" s="3"/>
      <c r="AJ68" s="3"/>
      <c r="AK68" s="3" t="s">
        <v>18</v>
      </c>
      <c r="AL68" s="3"/>
      <c r="AM68" s="3"/>
      <c r="AN68" s="3"/>
      <c r="AO68" s="3" t="s">
        <v>17</v>
      </c>
      <c r="AP68" s="3" t="s">
        <v>17</v>
      </c>
      <c r="AQ68" s="3"/>
      <c r="AR68" s="3">
        <f t="shared" si="6"/>
        <v>5</v>
      </c>
      <c r="AS68" s="3">
        <f t="shared" si="7"/>
        <v>3</v>
      </c>
      <c r="AT68" s="3">
        <f t="shared" si="8"/>
        <v>8</v>
      </c>
      <c r="AU68" s="4" t="s">
        <v>292</v>
      </c>
      <c r="AV68" s="6" t="s">
        <v>293</v>
      </c>
      <c r="AW68" s="6" t="s">
        <v>294</v>
      </c>
      <c r="AX68" s="6" t="s">
        <v>37</v>
      </c>
    </row>
    <row r="69" spans="1:50" ht="15" customHeight="1" x14ac:dyDescent="0.2">
      <c r="A69" s="3">
        <v>68</v>
      </c>
      <c r="B69" s="4" t="s">
        <v>249</v>
      </c>
      <c r="C69" s="4" t="s">
        <v>295</v>
      </c>
      <c r="D69" s="4" t="s">
        <v>296</v>
      </c>
      <c r="E69" s="4" t="s">
        <v>297</v>
      </c>
      <c r="F69" s="5">
        <v>2567</v>
      </c>
      <c r="G69" s="3"/>
      <c r="H69" s="3"/>
      <c r="I69" s="3"/>
      <c r="J69" s="3"/>
      <c r="K69" s="3"/>
      <c r="L69" s="3"/>
      <c r="M69" s="3"/>
      <c r="N69" s="3"/>
      <c r="O69" s="3"/>
      <c r="P69" s="3"/>
      <c r="Q69" s="3"/>
      <c r="R69" s="3"/>
      <c r="S69" s="3"/>
      <c r="T69" s="3"/>
      <c r="U69" s="3"/>
      <c r="V69" s="3"/>
      <c r="W69" s="3"/>
      <c r="X69" s="3"/>
      <c r="Y69" s="3"/>
      <c r="Z69" s="3"/>
      <c r="AA69" s="3"/>
      <c r="AB69" s="3"/>
      <c r="AC69" s="3" t="s">
        <v>17</v>
      </c>
      <c r="AD69" s="3"/>
      <c r="AE69" s="3" t="s">
        <v>17</v>
      </c>
      <c r="AF69" s="3"/>
      <c r="AG69" s="3" t="s">
        <v>18</v>
      </c>
      <c r="AH69" s="3"/>
      <c r="AI69" s="3"/>
      <c r="AJ69" s="3"/>
      <c r="AK69" s="3"/>
      <c r="AL69" s="3"/>
      <c r="AM69" s="3"/>
      <c r="AN69" s="3"/>
      <c r="AO69" s="3" t="s">
        <v>17</v>
      </c>
      <c r="AP69" s="3" t="s">
        <v>17</v>
      </c>
      <c r="AQ69" s="3"/>
      <c r="AR69" s="3">
        <f t="shared" si="6"/>
        <v>4</v>
      </c>
      <c r="AS69" s="3">
        <f t="shared" si="7"/>
        <v>1</v>
      </c>
      <c r="AT69" s="3">
        <f t="shared" si="8"/>
        <v>5</v>
      </c>
      <c r="AU69" s="4" t="s">
        <v>298</v>
      </c>
      <c r="AV69" s="6" t="s">
        <v>20</v>
      </c>
      <c r="AW69" s="6" t="s">
        <v>20</v>
      </c>
      <c r="AX69" s="6" t="s">
        <v>21</v>
      </c>
    </row>
    <row r="70" spans="1:50" ht="15" customHeight="1" x14ac:dyDescent="0.2">
      <c r="A70" s="3">
        <v>69</v>
      </c>
      <c r="B70" s="4" t="s">
        <v>249</v>
      </c>
      <c r="C70" s="4" t="s">
        <v>299</v>
      </c>
      <c r="D70" s="4" t="s">
        <v>300</v>
      </c>
      <c r="E70" s="4" t="s">
        <v>301</v>
      </c>
      <c r="F70" s="5">
        <v>76</v>
      </c>
      <c r="G70" s="3"/>
      <c r="H70" s="3"/>
      <c r="I70" s="3"/>
      <c r="J70" s="3"/>
      <c r="K70" s="3"/>
      <c r="L70" s="3"/>
      <c r="M70" s="3"/>
      <c r="N70" s="3"/>
      <c r="O70" s="3"/>
      <c r="P70" s="3"/>
      <c r="Q70" s="3"/>
      <c r="R70" s="3"/>
      <c r="S70" s="3"/>
      <c r="T70" s="3"/>
      <c r="U70" s="3"/>
      <c r="V70" s="3"/>
      <c r="W70" s="3" t="s">
        <v>17</v>
      </c>
      <c r="X70" s="3"/>
      <c r="Y70" s="3"/>
      <c r="Z70" s="3"/>
      <c r="AA70" s="3"/>
      <c r="AB70" s="3"/>
      <c r="AC70" s="3"/>
      <c r="AD70" s="3"/>
      <c r="AE70" s="3"/>
      <c r="AF70" s="3"/>
      <c r="AG70" s="3"/>
      <c r="AH70" s="3"/>
      <c r="AI70" s="3"/>
      <c r="AJ70" s="3"/>
      <c r="AK70" s="3"/>
      <c r="AL70" s="3"/>
      <c r="AM70" s="3"/>
      <c r="AN70" s="3"/>
      <c r="AO70" s="3"/>
      <c r="AP70" s="3"/>
      <c r="AQ70" s="3"/>
      <c r="AR70" s="3">
        <f t="shared" si="6"/>
        <v>1</v>
      </c>
      <c r="AS70" s="3">
        <f t="shared" si="7"/>
        <v>0</v>
      </c>
      <c r="AT70" s="3">
        <f t="shared" si="8"/>
        <v>1</v>
      </c>
      <c r="AU70" s="4" t="s">
        <v>302</v>
      </c>
      <c r="AV70" s="6" t="s">
        <v>20</v>
      </c>
      <c r="AW70" s="6" t="s">
        <v>20</v>
      </c>
      <c r="AX70" s="6" t="s">
        <v>21</v>
      </c>
    </row>
    <row r="71" spans="1:50" ht="15" customHeight="1" x14ac:dyDescent="0.2">
      <c r="A71" s="3">
        <v>70</v>
      </c>
      <c r="B71" s="4" t="s">
        <v>249</v>
      </c>
      <c r="C71" s="4" t="s">
        <v>303</v>
      </c>
      <c r="D71" s="4" t="s">
        <v>304</v>
      </c>
      <c r="E71" s="4" t="s">
        <v>305</v>
      </c>
      <c r="F71" s="5">
        <v>1718</v>
      </c>
      <c r="G71" s="3"/>
      <c r="H71" s="3"/>
      <c r="I71" s="3"/>
      <c r="J71" s="3"/>
      <c r="K71" s="3"/>
      <c r="L71" s="3"/>
      <c r="M71" s="3"/>
      <c r="N71" s="3"/>
      <c r="O71" s="3"/>
      <c r="P71" s="3"/>
      <c r="Q71" s="3"/>
      <c r="R71" s="3"/>
      <c r="S71" s="3"/>
      <c r="T71" s="3"/>
      <c r="U71" s="3"/>
      <c r="V71" s="3"/>
      <c r="W71" s="3"/>
      <c r="X71" s="3"/>
      <c r="Y71" s="3"/>
      <c r="Z71" s="3"/>
      <c r="AA71" s="3"/>
      <c r="AB71" s="3"/>
      <c r="AC71" s="3"/>
      <c r="AD71" s="3"/>
      <c r="AE71" s="3" t="s">
        <v>17</v>
      </c>
      <c r="AF71" s="3"/>
      <c r="AG71" s="3"/>
      <c r="AH71" s="3"/>
      <c r="AI71" s="3"/>
      <c r="AJ71" s="3" t="s">
        <v>17</v>
      </c>
      <c r="AK71" s="3"/>
      <c r="AL71" s="3"/>
      <c r="AM71" s="3"/>
      <c r="AN71" s="3"/>
      <c r="AO71" s="3"/>
      <c r="AP71" s="3"/>
      <c r="AQ71" s="3"/>
      <c r="AR71" s="3">
        <f t="shared" si="6"/>
        <v>2</v>
      </c>
      <c r="AS71" s="3">
        <f t="shared" si="7"/>
        <v>0</v>
      </c>
      <c r="AT71" s="3">
        <f t="shared" si="8"/>
        <v>2</v>
      </c>
      <c r="AU71" s="4" t="s">
        <v>306</v>
      </c>
      <c r="AV71" s="6" t="s">
        <v>20</v>
      </c>
      <c r="AW71" s="6" t="s">
        <v>20</v>
      </c>
      <c r="AX71" s="6" t="s">
        <v>21</v>
      </c>
    </row>
    <row r="72" spans="1:50" ht="15" customHeight="1" x14ac:dyDescent="0.2">
      <c r="A72" s="3">
        <v>71</v>
      </c>
      <c r="B72" s="4" t="s">
        <v>249</v>
      </c>
      <c r="C72" s="4" t="s">
        <v>307</v>
      </c>
      <c r="D72" s="4" t="s">
        <v>199</v>
      </c>
      <c r="E72" s="4" t="s">
        <v>308</v>
      </c>
      <c r="F72" s="5">
        <v>164</v>
      </c>
      <c r="G72" s="3"/>
      <c r="H72" s="3"/>
      <c r="I72" s="3"/>
      <c r="J72" s="3"/>
      <c r="K72" s="3"/>
      <c r="L72" s="3"/>
      <c r="M72" s="3"/>
      <c r="N72" s="3"/>
      <c r="O72" s="3"/>
      <c r="P72" s="3"/>
      <c r="Q72" s="3"/>
      <c r="R72" s="3"/>
      <c r="S72" s="3"/>
      <c r="T72" s="3"/>
      <c r="U72" s="3"/>
      <c r="V72" s="3"/>
      <c r="W72" s="3"/>
      <c r="X72" s="3" t="s">
        <v>17</v>
      </c>
      <c r="Y72" s="3"/>
      <c r="Z72" s="3"/>
      <c r="AA72" s="3"/>
      <c r="AB72" s="3"/>
      <c r="AC72" s="3"/>
      <c r="AD72" s="3"/>
      <c r="AE72" s="3"/>
      <c r="AF72" s="3"/>
      <c r="AG72" s="3"/>
      <c r="AH72" s="3"/>
      <c r="AI72" s="3"/>
      <c r="AJ72" s="3"/>
      <c r="AK72" s="3"/>
      <c r="AL72" s="3"/>
      <c r="AM72" s="3"/>
      <c r="AN72" s="3"/>
      <c r="AO72" s="3"/>
      <c r="AP72" s="3" t="s">
        <v>17</v>
      </c>
      <c r="AQ72" s="3"/>
      <c r="AR72" s="3">
        <f t="shared" si="6"/>
        <v>2</v>
      </c>
      <c r="AS72" s="3">
        <f t="shared" si="7"/>
        <v>0</v>
      </c>
      <c r="AT72" s="3">
        <f t="shared" si="8"/>
        <v>2</v>
      </c>
      <c r="AU72" s="4" t="s">
        <v>309</v>
      </c>
      <c r="AV72" s="6" t="s">
        <v>20</v>
      </c>
      <c r="AW72" s="6" t="s">
        <v>20</v>
      </c>
      <c r="AX72" s="6" t="s">
        <v>21</v>
      </c>
    </row>
    <row r="73" spans="1:50" ht="15" customHeight="1" x14ac:dyDescent="0.2">
      <c r="A73" s="3">
        <v>72</v>
      </c>
      <c r="B73" s="4" t="s">
        <v>249</v>
      </c>
      <c r="C73" s="4" t="s">
        <v>310</v>
      </c>
      <c r="D73" s="4" t="s">
        <v>43</v>
      </c>
      <c r="E73" s="4" t="s">
        <v>311</v>
      </c>
      <c r="F73" s="5">
        <v>833</v>
      </c>
      <c r="G73" s="3"/>
      <c r="H73" s="3"/>
      <c r="I73" s="3"/>
      <c r="J73" s="3" t="s">
        <v>18</v>
      </c>
      <c r="K73" s="3"/>
      <c r="L73" s="3"/>
      <c r="M73" s="3"/>
      <c r="N73" s="3"/>
      <c r="O73" s="3"/>
      <c r="P73" s="3"/>
      <c r="Q73" s="3"/>
      <c r="R73" s="3"/>
      <c r="S73" s="3"/>
      <c r="T73" s="3"/>
      <c r="U73" s="3"/>
      <c r="V73" s="3"/>
      <c r="W73" s="3" t="s">
        <v>17</v>
      </c>
      <c r="X73" s="3"/>
      <c r="Y73" s="3" t="s">
        <v>18</v>
      </c>
      <c r="Z73" s="3"/>
      <c r="AA73" s="3"/>
      <c r="AB73" s="3"/>
      <c r="AC73" s="3"/>
      <c r="AD73" s="3"/>
      <c r="AE73" s="3"/>
      <c r="AF73" s="3"/>
      <c r="AG73" s="3"/>
      <c r="AH73" s="3"/>
      <c r="AI73" s="3"/>
      <c r="AJ73" s="3"/>
      <c r="AK73" s="3"/>
      <c r="AL73" s="3"/>
      <c r="AM73" s="3"/>
      <c r="AN73" s="3"/>
      <c r="AO73" s="3"/>
      <c r="AP73" s="3"/>
      <c r="AQ73" s="3" t="s">
        <v>17</v>
      </c>
      <c r="AR73" s="3">
        <f t="shared" si="6"/>
        <v>2</v>
      </c>
      <c r="AS73" s="3">
        <f t="shared" si="7"/>
        <v>2</v>
      </c>
      <c r="AT73" s="3">
        <f t="shared" si="8"/>
        <v>4</v>
      </c>
      <c r="AU73" s="4" t="s">
        <v>312</v>
      </c>
      <c r="AV73" s="6" t="s">
        <v>20</v>
      </c>
      <c r="AW73" s="6" t="s">
        <v>20</v>
      </c>
      <c r="AX73" s="6" t="s">
        <v>21</v>
      </c>
    </row>
    <row r="74" spans="1:50" ht="15" customHeight="1" x14ac:dyDescent="0.2">
      <c r="A74" s="3">
        <v>73</v>
      </c>
      <c r="B74" s="4" t="s">
        <v>249</v>
      </c>
      <c r="C74" s="4" t="s">
        <v>313</v>
      </c>
      <c r="D74" s="4" t="s">
        <v>314</v>
      </c>
      <c r="E74" s="4" t="s">
        <v>315</v>
      </c>
      <c r="F74" s="5">
        <v>510</v>
      </c>
      <c r="G74" s="3"/>
      <c r="H74" s="3"/>
      <c r="I74" s="3"/>
      <c r="J74" s="3"/>
      <c r="K74" s="3"/>
      <c r="L74" s="3"/>
      <c r="M74" s="3"/>
      <c r="N74" s="3"/>
      <c r="O74" s="3"/>
      <c r="P74" s="3"/>
      <c r="Q74" s="3"/>
      <c r="R74" s="3"/>
      <c r="S74" s="3"/>
      <c r="T74" s="3"/>
      <c r="U74" s="3"/>
      <c r="V74" s="3"/>
      <c r="W74" s="3" t="s">
        <v>18</v>
      </c>
      <c r="X74" s="3"/>
      <c r="Y74" s="3" t="s">
        <v>17</v>
      </c>
      <c r="Z74" s="3" t="s">
        <v>18</v>
      </c>
      <c r="AA74" s="3"/>
      <c r="AB74" s="3"/>
      <c r="AC74" s="3"/>
      <c r="AD74" s="3"/>
      <c r="AE74" s="3"/>
      <c r="AF74" s="3"/>
      <c r="AG74" s="3"/>
      <c r="AH74" s="3"/>
      <c r="AI74" s="3"/>
      <c r="AJ74" s="3"/>
      <c r="AK74" s="3" t="s">
        <v>17</v>
      </c>
      <c r="AL74" s="3"/>
      <c r="AM74" s="3"/>
      <c r="AN74" s="3"/>
      <c r="AO74" s="3"/>
      <c r="AP74" s="3"/>
      <c r="AQ74" s="3"/>
      <c r="AR74" s="3">
        <f t="shared" si="6"/>
        <v>2</v>
      </c>
      <c r="AS74" s="3">
        <f t="shared" si="7"/>
        <v>2</v>
      </c>
      <c r="AT74" s="3">
        <f t="shared" si="8"/>
        <v>4</v>
      </c>
      <c r="AU74" s="4" t="s">
        <v>316</v>
      </c>
      <c r="AV74" s="6" t="s">
        <v>20</v>
      </c>
      <c r="AW74" s="6" t="s">
        <v>20</v>
      </c>
      <c r="AX74" s="6" t="s">
        <v>21</v>
      </c>
    </row>
    <row r="75" spans="1:50" ht="15" customHeight="1" x14ac:dyDescent="0.2">
      <c r="A75" s="3">
        <v>74</v>
      </c>
      <c r="B75" s="4" t="s">
        <v>249</v>
      </c>
      <c r="C75" s="4" t="s">
        <v>317</v>
      </c>
      <c r="D75" s="4" t="s">
        <v>318</v>
      </c>
      <c r="E75" s="4" t="s">
        <v>319</v>
      </c>
      <c r="F75" s="5">
        <v>50</v>
      </c>
      <c r="G75" s="3"/>
      <c r="H75" s="3"/>
      <c r="I75" s="3"/>
      <c r="J75" s="3" t="s">
        <v>17</v>
      </c>
      <c r="K75" s="3"/>
      <c r="L75" s="3"/>
      <c r="M75" s="3"/>
      <c r="N75" s="3"/>
      <c r="O75" s="3"/>
      <c r="P75" s="3"/>
      <c r="Q75" s="3"/>
      <c r="R75" s="3"/>
      <c r="S75" s="3"/>
      <c r="T75" s="3"/>
      <c r="U75" s="3"/>
      <c r="V75" s="3"/>
      <c r="W75" s="3"/>
      <c r="X75" s="3"/>
      <c r="Y75" s="3" t="s">
        <v>17</v>
      </c>
      <c r="Z75" s="3"/>
      <c r="AA75" s="3"/>
      <c r="AB75" s="3"/>
      <c r="AC75" s="3"/>
      <c r="AD75" s="3"/>
      <c r="AE75" s="3"/>
      <c r="AF75" s="3"/>
      <c r="AG75" s="3"/>
      <c r="AH75" s="3"/>
      <c r="AI75" s="3"/>
      <c r="AJ75" s="3"/>
      <c r="AK75" s="3"/>
      <c r="AL75" s="3"/>
      <c r="AM75" s="3"/>
      <c r="AN75" s="3"/>
      <c r="AO75" s="3"/>
      <c r="AP75" s="3" t="s">
        <v>17</v>
      </c>
      <c r="AQ75" s="3"/>
      <c r="AR75" s="3">
        <f t="shared" si="6"/>
        <v>3</v>
      </c>
      <c r="AS75" s="3">
        <f t="shared" si="7"/>
        <v>0</v>
      </c>
      <c r="AT75" s="3">
        <f t="shared" si="8"/>
        <v>3</v>
      </c>
      <c r="AU75" s="4" t="s">
        <v>320</v>
      </c>
      <c r="AV75" s="6" t="s">
        <v>20</v>
      </c>
      <c r="AW75" s="6" t="s">
        <v>20</v>
      </c>
      <c r="AX75" s="6" t="s">
        <v>21</v>
      </c>
    </row>
    <row r="76" spans="1:50" ht="15" customHeight="1" x14ac:dyDescent="0.2">
      <c r="A76" s="3">
        <v>75</v>
      </c>
      <c r="B76" s="4" t="s">
        <v>249</v>
      </c>
      <c r="C76" s="4" t="s">
        <v>321</v>
      </c>
      <c r="D76" s="4" t="s">
        <v>322</v>
      </c>
      <c r="E76" s="4" t="s">
        <v>323</v>
      </c>
      <c r="F76" s="5">
        <v>84</v>
      </c>
      <c r="G76" s="3"/>
      <c r="H76" s="3"/>
      <c r="I76" s="3"/>
      <c r="J76" s="3" t="s">
        <v>17</v>
      </c>
      <c r="K76" s="3"/>
      <c r="L76" s="3"/>
      <c r="M76" s="3"/>
      <c r="N76" s="3"/>
      <c r="O76" s="3"/>
      <c r="P76" s="3"/>
      <c r="Q76" s="3"/>
      <c r="R76" s="3"/>
      <c r="S76" s="3" t="s">
        <v>18</v>
      </c>
      <c r="T76" s="3"/>
      <c r="U76" s="3"/>
      <c r="V76" s="3" t="s">
        <v>18</v>
      </c>
      <c r="W76" s="3"/>
      <c r="X76" s="3"/>
      <c r="Y76" s="3"/>
      <c r="Z76" s="3"/>
      <c r="AA76" s="3"/>
      <c r="AB76" s="3"/>
      <c r="AC76" s="3"/>
      <c r="AD76" s="3"/>
      <c r="AE76" s="3"/>
      <c r="AF76" s="3"/>
      <c r="AG76" s="3"/>
      <c r="AH76" s="3"/>
      <c r="AI76" s="3"/>
      <c r="AJ76" s="3"/>
      <c r="AK76" s="3"/>
      <c r="AL76" s="3"/>
      <c r="AM76" s="3"/>
      <c r="AN76" s="3"/>
      <c r="AO76" s="3"/>
      <c r="AP76" s="3"/>
      <c r="AQ76" s="3"/>
      <c r="AR76" s="3">
        <f t="shared" si="6"/>
        <v>1</v>
      </c>
      <c r="AS76" s="3">
        <f t="shared" si="7"/>
        <v>2</v>
      </c>
      <c r="AT76" s="3">
        <f t="shared" si="8"/>
        <v>3</v>
      </c>
      <c r="AU76" s="4" t="s">
        <v>324</v>
      </c>
      <c r="AV76" s="6" t="s">
        <v>20</v>
      </c>
      <c r="AW76" s="6" t="s">
        <v>20</v>
      </c>
      <c r="AX76" s="6" t="s">
        <v>21</v>
      </c>
    </row>
    <row r="77" spans="1:50" ht="15" customHeight="1" x14ac:dyDescent="0.2">
      <c r="A77" s="3">
        <v>76</v>
      </c>
      <c r="B77" s="4" t="s">
        <v>249</v>
      </c>
      <c r="C77" s="4" t="s">
        <v>325</v>
      </c>
      <c r="D77" s="4" t="s">
        <v>326</v>
      </c>
      <c r="E77" s="4" t="s">
        <v>327</v>
      </c>
      <c r="F77" s="5">
        <v>2005</v>
      </c>
      <c r="G77" s="3"/>
      <c r="H77" s="3"/>
      <c r="I77" s="3"/>
      <c r="J77" s="3"/>
      <c r="K77" s="3"/>
      <c r="L77" s="3"/>
      <c r="M77" s="3"/>
      <c r="N77" s="3"/>
      <c r="O77" s="3"/>
      <c r="P77" s="3"/>
      <c r="Q77" s="3"/>
      <c r="R77" s="3"/>
      <c r="S77" s="3" t="s">
        <v>18</v>
      </c>
      <c r="T77" s="3" t="s">
        <v>18</v>
      </c>
      <c r="U77" s="3"/>
      <c r="V77" s="3"/>
      <c r="W77" s="3"/>
      <c r="X77" s="3"/>
      <c r="Y77" s="3"/>
      <c r="Z77" s="3"/>
      <c r="AA77" s="3"/>
      <c r="AB77" s="3"/>
      <c r="AC77" s="3" t="s">
        <v>17</v>
      </c>
      <c r="AD77" s="3" t="s">
        <v>18</v>
      </c>
      <c r="AE77" s="3" t="s">
        <v>18</v>
      </c>
      <c r="AF77" s="3" t="s">
        <v>18</v>
      </c>
      <c r="AG77" s="3" t="s">
        <v>18</v>
      </c>
      <c r="AH77" s="3"/>
      <c r="AI77" s="3"/>
      <c r="AJ77" s="3"/>
      <c r="AK77" s="3"/>
      <c r="AL77" s="3"/>
      <c r="AM77" s="3"/>
      <c r="AN77" s="3"/>
      <c r="AO77" s="3" t="s">
        <v>17</v>
      </c>
      <c r="AP77" s="3" t="s">
        <v>18</v>
      </c>
      <c r="AQ77" s="3"/>
      <c r="AR77" s="3">
        <f t="shared" si="6"/>
        <v>2</v>
      </c>
      <c r="AS77" s="3">
        <f t="shared" si="7"/>
        <v>7</v>
      </c>
      <c r="AT77" s="3">
        <f t="shared" si="8"/>
        <v>9</v>
      </c>
      <c r="AU77" s="4" t="s">
        <v>328</v>
      </c>
      <c r="AV77" s="6" t="s">
        <v>20</v>
      </c>
      <c r="AW77" s="6" t="s">
        <v>20</v>
      </c>
      <c r="AX77" s="6" t="s">
        <v>21</v>
      </c>
    </row>
    <row r="78" spans="1:50" ht="15" customHeight="1" x14ac:dyDescent="0.2">
      <c r="A78" s="3">
        <v>77</v>
      </c>
      <c r="B78" s="4" t="s">
        <v>249</v>
      </c>
      <c r="C78" s="4" t="s">
        <v>329</v>
      </c>
      <c r="D78" s="4" t="s">
        <v>330</v>
      </c>
      <c r="E78" s="4" t="s">
        <v>331</v>
      </c>
      <c r="F78" s="5">
        <v>201</v>
      </c>
      <c r="G78" s="3"/>
      <c r="H78" s="3"/>
      <c r="I78" s="3"/>
      <c r="J78" s="3"/>
      <c r="K78" s="3"/>
      <c r="L78" s="3"/>
      <c r="M78" s="3"/>
      <c r="N78" s="3"/>
      <c r="O78" s="3"/>
      <c r="P78" s="3"/>
      <c r="Q78" s="3"/>
      <c r="R78" s="3"/>
      <c r="S78" s="3"/>
      <c r="T78" s="3"/>
      <c r="U78" s="3"/>
      <c r="V78" s="3"/>
      <c r="W78" s="3"/>
      <c r="X78" s="3"/>
      <c r="Y78" s="3" t="s">
        <v>17</v>
      </c>
      <c r="Z78" s="3"/>
      <c r="AA78" s="3" t="s">
        <v>17</v>
      </c>
      <c r="AB78" s="3"/>
      <c r="AC78" s="3" t="s">
        <v>17</v>
      </c>
      <c r="AD78" s="3"/>
      <c r="AE78" s="3"/>
      <c r="AF78" s="3"/>
      <c r="AG78" s="3"/>
      <c r="AH78" s="3"/>
      <c r="AI78" s="3"/>
      <c r="AJ78" s="3"/>
      <c r="AK78" s="3"/>
      <c r="AL78" s="3"/>
      <c r="AM78" s="3"/>
      <c r="AN78" s="3"/>
      <c r="AO78" s="3"/>
      <c r="AP78" s="3" t="s">
        <v>17</v>
      </c>
      <c r="AQ78" s="3"/>
      <c r="AR78" s="3">
        <f t="shared" si="6"/>
        <v>4</v>
      </c>
      <c r="AS78" s="3">
        <f t="shared" si="7"/>
        <v>0</v>
      </c>
      <c r="AT78" s="3">
        <f t="shared" si="8"/>
        <v>4</v>
      </c>
      <c r="AU78" s="4" t="s">
        <v>332</v>
      </c>
      <c r="AV78" s="6" t="s">
        <v>20</v>
      </c>
      <c r="AW78" s="6" t="s">
        <v>20</v>
      </c>
      <c r="AX78" s="6" t="s">
        <v>21</v>
      </c>
    </row>
    <row r="79" spans="1:50" ht="15" customHeight="1" x14ac:dyDescent="0.2">
      <c r="A79" s="3">
        <v>78</v>
      </c>
      <c r="B79" s="4" t="s">
        <v>249</v>
      </c>
      <c r="C79" s="4" t="s">
        <v>333</v>
      </c>
      <c r="D79" s="4" t="s">
        <v>334</v>
      </c>
      <c r="E79" s="4" t="s">
        <v>335</v>
      </c>
      <c r="F79" s="5">
        <v>711</v>
      </c>
      <c r="G79" s="3"/>
      <c r="H79" s="3"/>
      <c r="I79" s="3"/>
      <c r="J79" s="3"/>
      <c r="K79" s="3"/>
      <c r="L79" s="3"/>
      <c r="M79" s="3"/>
      <c r="N79" s="3"/>
      <c r="O79" s="3"/>
      <c r="P79" s="3"/>
      <c r="Q79" s="3"/>
      <c r="R79" s="3"/>
      <c r="S79" s="3"/>
      <c r="T79" s="3"/>
      <c r="U79" s="3"/>
      <c r="V79" s="3"/>
      <c r="W79" s="3"/>
      <c r="X79" s="3"/>
      <c r="Y79" s="3"/>
      <c r="Z79" s="3"/>
      <c r="AA79" s="3"/>
      <c r="AB79" s="3" t="s">
        <v>17</v>
      </c>
      <c r="AC79" s="3" t="s">
        <v>17</v>
      </c>
      <c r="AD79" s="3"/>
      <c r="AE79" s="3"/>
      <c r="AF79" s="3" t="s">
        <v>17</v>
      </c>
      <c r="AG79" s="3" t="s">
        <v>18</v>
      </c>
      <c r="AH79" s="3" t="s">
        <v>18</v>
      </c>
      <c r="AI79" s="3"/>
      <c r="AJ79" s="3"/>
      <c r="AK79" s="3"/>
      <c r="AL79" s="3"/>
      <c r="AM79" s="3"/>
      <c r="AN79" s="3"/>
      <c r="AO79" s="3"/>
      <c r="AP79" s="3"/>
      <c r="AQ79" s="3" t="s">
        <v>17</v>
      </c>
      <c r="AR79" s="3">
        <f t="shared" si="6"/>
        <v>4</v>
      </c>
      <c r="AS79" s="3">
        <f t="shared" si="7"/>
        <v>2</v>
      </c>
      <c r="AT79" s="3">
        <f t="shared" si="8"/>
        <v>6</v>
      </c>
      <c r="AU79" s="4" t="s">
        <v>336</v>
      </c>
      <c r="AV79" s="6" t="s">
        <v>20</v>
      </c>
      <c r="AW79" s="6" t="s">
        <v>20</v>
      </c>
      <c r="AX79" s="6" t="s">
        <v>21</v>
      </c>
    </row>
    <row r="80" spans="1:50" ht="15" customHeight="1" x14ac:dyDescent="0.2">
      <c r="A80" s="3">
        <v>79</v>
      </c>
      <c r="B80" s="4" t="s">
        <v>337</v>
      </c>
      <c r="C80" s="4" t="s">
        <v>338</v>
      </c>
      <c r="D80" s="4" t="s">
        <v>246</v>
      </c>
      <c r="E80" s="4" t="s">
        <v>339</v>
      </c>
      <c r="F80" s="5">
        <v>2236</v>
      </c>
      <c r="G80" s="3"/>
      <c r="H80" s="3"/>
      <c r="I80" s="3"/>
      <c r="J80" s="3" t="s">
        <v>18</v>
      </c>
      <c r="K80" s="3"/>
      <c r="L80" s="3"/>
      <c r="M80" s="3"/>
      <c r="N80" s="3" t="s">
        <v>17</v>
      </c>
      <c r="O80" s="3"/>
      <c r="P80" s="3"/>
      <c r="Q80" s="3" t="s">
        <v>18</v>
      </c>
      <c r="R80" s="3" t="s">
        <v>18</v>
      </c>
      <c r="S80" s="3" t="s">
        <v>18</v>
      </c>
      <c r="T80" s="3" t="s">
        <v>18</v>
      </c>
      <c r="U80" s="3" t="s">
        <v>18</v>
      </c>
      <c r="V80" s="3" t="s">
        <v>18</v>
      </c>
      <c r="W80" s="3"/>
      <c r="X80" s="3"/>
      <c r="Y80" s="3" t="s">
        <v>17</v>
      </c>
      <c r="Z80" s="3"/>
      <c r="AA80" s="3"/>
      <c r="AB80" s="3"/>
      <c r="AC80" s="3"/>
      <c r="AD80" s="3"/>
      <c r="AE80" s="3"/>
      <c r="AF80" s="3" t="s">
        <v>18</v>
      </c>
      <c r="AG80" s="3"/>
      <c r="AH80" s="3" t="s">
        <v>18</v>
      </c>
      <c r="AI80" s="3"/>
      <c r="AJ80" s="3"/>
      <c r="AK80" s="3" t="s">
        <v>18</v>
      </c>
      <c r="AL80" s="3"/>
      <c r="AM80" s="3"/>
      <c r="AN80" s="3"/>
      <c r="AO80" s="3"/>
      <c r="AP80" s="3" t="s">
        <v>18</v>
      </c>
      <c r="AQ80" s="3"/>
      <c r="AR80" s="3">
        <f t="shared" si="6"/>
        <v>2</v>
      </c>
      <c r="AS80" s="3">
        <f t="shared" si="7"/>
        <v>11</v>
      </c>
      <c r="AT80" s="3">
        <f t="shared" si="8"/>
        <v>13</v>
      </c>
      <c r="AU80" s="4" t="s">
        <v>340</v>
      </c>
      <c r="AV80" s="6" t="s">
        <v>341</v>
      </c>
      <c r="AW80" s="6" t="s">
        <v>342</v>
      </c>
      <c r="AX80" s="6" t="s">
        <v>37</v>
      </c>
    </row>
    <row r="81" spans="1:50" ht="15" customHeight="1" x14ac:dyDescent="0.2">
      <c r="A81" s="3">
        <v>80</v>
      </c>
      <c r="B81" s="4" t="s">
        <v>337</v>
      </c>
      <c r="C81" s="4" t="s">
        <v>343</v>
      </c>
      <c r="D81" s="4" t="s">
        <v>344</v>
      </c>
      <c r="E81" s="4" t="s">
        <v>345</v>
      </c>
      <c r="F81" s="5">
        <v>31</v>
      </c>
      <c r="G81" s="3"/>
      <c r="H81" s="3"/>
      <c r="I81" s="3"/>
      <c r="J81" s="3"/>
      <c r="K81" s="3"/>
      <c r="L81" s="3"/>
      <c r="M81" s="3"/>
      <c r="N81" s="3" t="s">
        <v>17</v>
      </c>
      <c r="O81" s="3"/>
      <c r="P81" s="3"/>
      <c r="Q81" s="3"/>
      <c r="R81" s="3"/>
      <c r="S81" s="3"/>
      <c r="T81" s="3"/>
      <c r="U81" s="3"/>
      <c r="V81" s="3"/>
      <c r="W81" s="3"/>
      <c r="X81" s="3"/>
      <c r="Y81" s="3" t="s">
        <v>17</v>
      </c>
      <c r="Z81" s="3"/>
      <c r="AA81" s="3"/>
      <c r="AB81" s="3"/>
      <c r="AC81" s="3"/>
      <c r="AD81" s="3"/>
      <c r="AE81" s="3"/>
      <c r="AF81" s="3" t="s">
        <v>17</v>
      </c>
      <c r="AG81" s="3" t="s">
        <v>18</v>
      </c>
      <c r="AH81" s="3"/>
      <c r="AI81" s="3"/>
      <c r="AJ81" s="3"/>
      <c r="AK81" s="3" t="s">
        <v>17</v>
      </c>
      <c r="AL81" s="3"/>
      <c r="AM81" s="3"/>
      <c r="AN81" s="3"/>
      <c r="AO81" s="3" t="s">
        <v>18</v>
      </c>
      <c r="AP81" s="3"/>
      <c r="AQ81" s="3"/>
      <c r="AR81" s="3">
        <f t="shared" si="6"/>
        <v>4</v>
      </c>
      <c r="AS81" s="3">
        <f t="shared" si="7"/>
        <v>2</v>
      </c>
      <c r="AT81" s="3">
        <f t="shared" si="8"/>
        <v>6</v>
      </c>
      <c r="AU81" s="4" t="s">
        <v>346</v>
      </c>
      <c r="AV81" s="6" t="s">
        <v>20</v>
      </c>
      <c r="AW81" s="6" t="s">
        <v>20</v>
      </c>
      <c r="AX81" s="6" t="s">
        <v>21</v>
      </c>
    </row>
    <row r="82" spans="1:50" ht="15" customHeight="1" x14ac:dyDescent="0.2">
      <c r="A82" s="3">
        <v>81</v>
      </c>
      <c r="B82" s="4" t="s">
        <v>337</v>
      </c>
      <c r="C82" s="4" t="s">
        <v>347</v>
      </c>
      <c r="D82" s="4" t="s">
        <v>348</v>
      </c>
      <c r="E82" s="4" t="s">
        <v>349</v>
      </c>
      <c r="F82" s="5">
        <v>877</v>
      </c>
      <c r="G82" s="3"/>
      <c r="H82" s="3"/>
      <c r="I82" s="3"/>
      <c r="J82" s="3"/>
      <c r="K82" s="3"/>
      <c r="L82" s="3"/>
      <c r="M82" s="3"/>
      <c r="N82" s="3"/>
      <c r="O82" s="3"/>
      <c r="P82" s="3"/>
      <c r="Q82" s="3"/>
      <c r="R82" s="3"/>
      <c r="S82" s="3"/>
      <c r="T82" s="3"/>
      <c r="U82" s="3"/>
      <c r="V82" s="3" t="s">
        <v>17</v>
      </c>
      <c r="W82" s="3" t="s">
        <v>18</v>
      </c>
      <c r="X82" s="3" t="s">
        <v>18</v>
      </c>
      <c r="Y82" s="3" t="s">
        <v>17</v>
      </c>
      <c r="Z82" s="3" t="s">
        <v>18</v>
      </c>
      <c r="AA82" s="3" t="s">
        <v>18</v>
      </c>
      <c r="AB82" s="3"/>
      <c r="AC82" s="3"/>
      <c r="AD82" s="3" t="s">
        <v>18</v>
      </c>
      <c r="AE82" s="3"/>
      <c r="AF82" s="3" t="s">
        <v>18</v>
      </c>
      <c r="AG82" s="3"/>
      <c r="AH82" s="3" t="s">
        <v>18</v>
      </c>
      <c r="AI82" s="3" t="s">
        <v>18</v>
      </c>
      <c r="AJ82" s="3"/>
      <c r="AK82" s="3" t="s">
        <v>18</v>
      </c>
      <c r="AL82" s="3"/>
      <c r="AM82" s="3"/>
      <c r="AN82" s="3"/>
      <c r="AO82" s="3"/>
      <c r="AP82" s="3" t="s">
        <v>18</v>
      </c>
      <c r="AQ82" s="3"/>
      <c r="AR82" s="3">
        <f t="shared" si="6"/>
        <v>2</v>
      </c>
      <c r="AS82" s="3">
        <f t="shared" si="7"/>
        <v>10</v>
      </c>
      <c r="AT82" s="3">
        <f t="shared" si="8"/>
        <v>12</v>
      </c>
      <c r="AU82" s="4" t="s">
        <v>350</v>
      </c>
      <c r="AV82" s="6" t="s">
        <v>20</v>
      </c>
      <c r="AW82" s="6" t="s">
        <v>351</v>
      </c>
      <c r="AX82" s="6" t="s">
        <v>37</v>
      </c>
    </row>
    <row r="83" spans="1:50" ht="15" customHeight="1" x14ac:dyDescent="0.2">
      <c r="A83" s="3">
        <v>82</v>
      </c>
      <c r="B83" s="4" t="s">
        <v>337</v>
      </c>
      <c r="C83" s="4" t="s">
        <v>352</v>
      </c>
      <c r="D83" s="4" t="s">
        <v>353</v>
      </c>
      <c r="E83" s="4" t="s">
        <v>354</v>
      </c>
      <c r="F83" s="5">
        <v>530</v>
      </c>
      <c r="G83" s="3"/>
      <c r="H83" s="3"/>
      <c r="I83" s="3"/>
      <c r="J83" s="3" t="s">
        <v>18</v>
      </c>
      <c r="K83" s="3"/>
      <c r="L83" s="3"/>
      <c r="M83" s="3"/>
      <c r="N83" s="3"/>
      <c r="O83" s="3" t="s">
        <v>17</v>
      </c>
      <c r="P83" s="3"/>
      <c r="Q83" s="3" t="s">
        <v>18</v>
      </c>
      <c r="R83" s="3" t="s">
        <v>17</v>
      </c>
      <c r="S83" s="3" t="s">
        <v>18</v>
      </c>
      <c r="T83" s="3"/>
      <c r="U83" s="3"/>
      <c r="V83" s="3" t="s">
        <v>18</v>
      </c>
      <c r="W83" s="3"/>
      <c r="X83" s="3" t="s">
        <v>18</v>
      </c>
      <c r="Y83" s="3" t="s">
        <v>18</v>
      </c>
      <c r="Z83" s="3"/>
      <c r="AA83" s="3" t="s">
        <v>18</v>
      </c>
      <c r="AB83" s="3"/>
      <c r="AC83" s="3"/>
      <c r="AD83" s="3" t="s">
        <v>18</v>
      </c>
      <c r="AE83" s="3"/>
      <c r="AF83" s="3" t="s">
        <v>18</v>
      </c>
      <c r="AG83" s="3"/>
      <c r="AH83" s="3"/>
      <c r="AI83" s="3"/>
      <c r="AJ83" s="3"/>
      <c r="AK83" s="3"/>
      <c r="AL83" s="3"/>
      <c r="AM83" s="3"/>
      <c r="AN83" s="3" t="s">
        <v>18</v>
      </c>
      <c r="AO83" s="3"/>
      <c r="AP83" s="3" t="s">
        <v>18</v>
      </c>
      <c r="AQ83" s="3"/>
      <c r="AR83" s="3">
        <f t="shared" si="6"/>
        <v>2</v>
      </c>
      <c r="AS83" s="3">
        <f t="shared" si="7"/>
        <v>11</v>
      </c>
      <c r="AT83" s="3">
        <f t="shared" si="8"/>
        <v>13</v>
      </c>
      <c r="AU83" s="4" t="s">
        <v>355</v>
      </c>
      <c r="AV83" s="6" t="s">
        <v>356</v>
      </c>
      <c r="AW83" s="6" t="s">
        <v>357</v>
      </c>
      <c r="AX83" s="6" t="s">
        <v>37</v>
      </c>
    </row>
    <row r="84" spans="1:50" ht="15" customHeight="1" x14ac:dyDescent="0.2">
      <c r="A84" s="3">
        <v>83</v>
      </c>
      <c r="B84" s="4" t="s">
        <v>337</v>
      </c>
      <c r="C84" s="4" t="s">
        <v>358</v>
      </c>
      <c r="D84" s="4" t="s">
        <v>359</v>
      </c>
      <c r="E84" s="4" t="s">
        <v>360</v>
      </c>
      <c r="F84" s="5">
        <v>22</v>
      </c>
      <c r="G84" s="3"/>
      <c r="H84" s="3"/>
      <c r="I84" s="3"/>
      <c r="J84" s="3"/>
      <c r="K84" s="3"/>
      <c r="L84" s="3"/>
      <c r="M84" s="3"/>
      <c r="N84" s="3" t="s">
        <v>18</v>
      </c>
      <c r="O84" s="3"/>
      <c r="P84" s="3"/>
      <c r="Q84" s="3"/>
      <c r="R84" s="3"/>
      <c r="S84" s="3"/>
      <c r="T84" s="3"/>
      <c r="U84" s="3"/>
      <c r="V84" s="3" t="s">
        <v>17</v>
      </c>
      <c r="W84" s="3"/>
      <c r="X84" s="3"/>
      <c r="Y84" s="3" t="s">
        <v>18</v>
      </c>
      <c r="Z84" s="3"/>
      <c r="AA84" s="3"/>
      <c r="AB84" s="3"/>
      <c r="AC84" s="3"/>
      <c r="AD84" s="3"/>
      <c r="AE84" s="3"/>
      <c r="AF84" s="3" t="s">
        <v>18</v>
      </c>
      <c r="AG84" s="3"/>
      <c r="AH84" s="3"/>
      <c r="AI84" s="3"/>
      <c r="AJ84" s="3"/>
      <c r="AK84" s="3" t="s">
        <v>18</v>
      </c>
      <c r="AL84" s="3"/>
      <c r="AM84" s="3"/>
      <c r="AN84" s="3"/>
      <c r="AO84" s="3"/>
      <c r="AP84" s="3" t="s">
        <v>18</v>
      </c>
      <c r="AQ84" s="3"/>
      <c r="AR84" s="3">
        <f t="shared" si="6"/>
        <v>1</v>
      </c>
      <c r="AS84" s="3">
        <f t="shared" si="7"/>
        <v>5</v>
      </c>
      <c r="AT84" s="3">
        <f t="shared" si="8"/>
        <v>6</v>
      </c>
      <c r="AU84" s="4" t="s">
        <v>361</v>
      </c>
      <c r="AV84" s="6" t="s">
        <v>341</v>
      </c>
      <c r="AW84" s="6" t="s">
        <v>362</v>
      </c>
      <c r="AX84" s="6" t="s">
        <v>37</v>
      </c>
    </row>
    <row r="85" spans="1:50" ht="15" customHeight="1" x14ac:dyDescent="0.2">
      <c r="A85" s="3">
        <v>84</v>
      </c>
      <c r="B85" s="4" t="s">
        <v>337</v>
      </c>
      <c r="C85" s="4" t="s">
        <v>363</v>
      </c>
      <c r="D85" s="4" t="s">
        <v>364</v>
      </c>
      <c r="E85" s="4" t="s">
        <v>365</v>
      </c>
      <c r="F85" s="5">
        <v>138</v>
      </c>
      <c r="G85" s="3"/>
      <c r="H85" s="3"/>
      <c r="I85" s="3"/>
      <c r="J85" s="3"/>
      <c r="K85" s="3"/>
      <c r="L85" s="3"/>
      <c r="M85" s="3"/>
      <c r="N85" s="3" t="s">
        <v>17</v>
      </c>
      <c r="O85" s="3"/>
      <c r="P85" s="3"/>
      <c r="Q85" s="3"/>
      <c r="R85" s="3"/>
      <c r="S85" s="3"/>
      <c r="T85" s="3"/>
      <c r="U85" s="3"/>
      <c r="V85" s="3"/>
      <c r="W85" s="3"/>
      <c r="X85" s="3"/>
      <c r="Y85" s="3" t="s">
        <v>17</v>
      </c>
      <c r="Z85" s="3"/>
      <c r="AA85" s="3"/>
      <c r="AB85" s="3"/>
      <c r="AC85" s="3"/>
      <c r="AD85" s="3"/>
      <c r="AE85" s="3"/>
      <c r="AF85" s="3" t="s">
        <v>17</v>
      </c>
      <c r="AG85" s="3"/>
      <c r="AH85" s="3"/>
      <c r="AI85" s="3"/>
      <c r="AJ85" s="3"/>
      <c r="AK85" s="3"/>
      <c r="AL85" s="3"/>
      <c r="AM85" s="3"/>
      <c r="AN85" s="3"/>
      <c r="AO85" s="3"/>
      <c r="AP85" s="3"/>
      <c r="AQ85" s="3"/>
      <c r="AR85" s="3">
        <f t="shared" si="6"/>
        <v>3</v>
      </c>
      <c r="AS85" s="3">
        <f t="shared" si="7"/>
        <v>0</v>
      </c>
      <c r="AT85" s="3">
        <f t="shared" si="8"/>
        <v>3</v>
      </c>
      <c r="AU85" s="4" t="s">
        <v>366</v>
      </c>
      <c r="AV85" s="6" t="s">
        <v>20</v>
      </c>
      <c r="AW85" s="6" t="s">
        <v>20</v>
      </c>
      <c r="AX85" s="6" t="s">
        <v>21</v>
      </c>
    </row>
    <row r="86" spans="1:50" ht="15" customHeight="1" x14ac:dyDescent="0.2">
      <c r="A86" s="3">
        <v>85</v>
      </c>
      <c r="B86" s="4" t="s">
        <v>337</v>
      </c>
      <c r="C86" s="4" t="s">
        <v>367</v>
      </c>
      <c r="D86" s="4" t="s">
        <v>368</v>
      </c>
      <c r="E86" s="4" t="s">
        <v>369</v>
      </c>
      <c r="F86" s="5">
        <v>188</v>
      </c>
      <c r="G86" s="3"/>
      <c r="H86" s="3"/>
      <c r="I86" s="3"/>
      <c r="J86" s="3"/>
      <c r="K86" s="3"/>
      <c r="L86" s="3"/>
      <c r="M86" s="3"/>
      <c r="N86" s="3" t="s">
        <v>17</v>
      </c>
      <c r="O86" s="3" t="s">
        <v>18</v>
      </c>
      <c r="P86" s="3"/>
      <c r="Q86" s="3"/>
      <c r="R86" s="3"/>
      <c r="S86" s="3"/>
      <c r="T86" s="3"/>
      <c r="U86" s="3"/>
      <c r="V86" s="3" t="s">
        <v>17</v>
      </c>
      <c r="W86" s="3"/>
      <c r="X86" s="3"/>
      <c r="Y86" s="3" t="s">
        <v>17</v>
      </c>
      <c r="Z86" s="3" t="s">
        <v>18</v>
      </c>
      <c r="AA86" s="3" t="s">
        <v>18</v>
      </c>
      <c r="AB86" s="3"/>
      <c r="AC86" s="3" t="s">
        <v>18</v>
      </c>
      <c r="AD86" s="3" t="s">
        <v>18</v>
      </c>
      <c r="AE86" s="3" t="s">
        <v>18</v>
      </c>
      <c r="AF86" s="3" t="s">
        <v>17</v>
      </c>
      <c r="AG86" s="3"/>
      <c r="AH86" s="3" t="s">
        <v>18</v>
      </c>
      <c r="AI86" s="3"/>
      <c r="AJ86" s="3" t="s">
        <v>17</v>
      </c>
      <c r="AK86" s="3" t="s">
        <v>18</v>
      </c>
      <c r="AL86" s="3"/>
      <c r="AM86" s="3"/>
      <c r="AN86" s="3"/>
      <c r="AO86" s="3"/>
      <c r="AP86" s="3" t="s">
        <v>17</v>
      </c>
      <c r="AQ86" s="3"/>
      <c r="AR86" s="3">
        <f t="shared" si="6"/>
        <v>6</v>
      </c>
      <c r="AS86" s="3">
        <f t="shared" si="7"/>
        <v>8</v>
      </c>
      <c r="AT86" s="3">
        <f t="shared" si="8"/>
        <v>14</v>
      </c>
      <c r="AU86" s="4" t="s">
        <v>370</v>
      </c>
      <c r="AV86" s="6" t="s">
        <v>371</v>
      </c>
      <c r="AW86" s="6" t="s">
        <v>372</v>
      </c>
      <c r="AX86" s="6" t="s">
        <v>37</v>
      </c>
    </row>
    <row r="87" spans="1:50" ht="15" customHeight="1" x14ac:dyDescent="0.2">
      <c r="A87" s="3">
        <v>86</v>
      </c>
      <c r="B87" s="4" t="s">
        <v>337</v>
      </c>
      <c r="C87" s="4" t="s">
        <v>373</v>
      </c>
      <c r="D87" s="4" t="s">
        <v>374</v>
      </c>
      <c r="E87" s="4" t="s">
        <v>375</v>
      </c>
      <c r="F87" s="5">
        <v>922</v>
      </c>
      <c r="G87" s="3"/>
      <c r="H87" s="3"/>
      <c r="I87" s="3"/>
      <c r="J87" s="3" t="s">
        <v>17</v>
      </c>
      <c r="K87" s="3"/>
      <c r="L87" s="3"/>
      <c r="M87" s="3"/>
      <c r="N87" s="3" t="s">
        <v>18</v>
      </c>
      <c r="O87" s="3" t="s">
        <v>18</v>
      </c>
      <c r="P87" s="3"/>
      <c r="Q87" s="3" t="s">
        <v>18</v>
      </c>
      <c r="R87" s="3"/>
      <c r="S87" s="3"/>
      <c r="T87" s="3"/>
      <c r="U87" s="3"/>
      <c r="V87" s="3" t="s">
        <v>18</v>
      </c>
      <c r="W87" s="3"/>
      <c r="X87" s="3" t="s">
        <v>18</v>
      </c>
      <c r="Y87" s="3" t="s">
        <v>18</v>
      </c>
      <c r="Z87" s="3" t="s">
        <v>18</v>
      </c>
      <c r="AA87" s="3"/>
      <c r="AB87" s="3"/>
      <c r="AC87" s="3"/>
      <c r="AD87" s="3" t="s">
        <v>18</v>
      </c>
      <c r="AE87" s="3" t="s">
        <v>18</v>
      </c>
      <c r="AF87" s="3" t="s">
        <v>17</v>
      </c>
      <c r="AG87" s="3"/>
      <c r="AH87" s="3"/>
      <c r="AI87" s="3"/>
      <c r="AJ87" s="3" t="s">
        <v>18</v>
      </c>
      <c r="AK87" s="3" t="s">
        <v>18</v>
      </c>
      <c r="AL87" s="3"/>
      <c r="AM87" s="3"/>
      <c r="AN87" s="3"/>
      <c r="AO87" s="3"/>
      <c r="AP87" s="3" t="s">
        <v>18</v>
      </c>
      <c r="AQ87" s="3"/>
      <c r="AR87" s="3">
        <f t="shared" si="6"/>
        <v>2</v>
      </c>
      <c r="AS87" s="3">
        <f t="shared" si="7"/>
        <v>12</v>
      </c>
      <c r="AT87" s="3">
        <f t="shared" si="8"/>
        <v>14</v>
      </c>
      <c r="AU87" s="4" t="s">
        <v>376</v>
      </c>
      <c r="AV87" s="6" t="s">
        <v>20</v>
      </c>
      <c r="AW87" s="6" t="s">
        <v>20</v>
      </c>
      <c r="AX87" s="6" t="s">
        <v>21</v>
      </c>
    </row>
    <row r="88" spans="1:50" ht="15" customHeight="1" x14ac:dyDescent="0.2">
      <c r="A88" s="3">
        <v>87</v>
      </c>
      <c r="B88" s="4" t="s">
        <v>337</v>
      </c>
      <c r="C88" s="4" t="s">
        <v>377</v>
      </c>
      <c r="D88" s="4" t="s">
        <v>378</v>
      </c>
      <c r="E88" s="4" t="s">
        <v>379</v>
      </c>
      <c r="F88" s="5">
        <v>15</v>
      </c>
      <c r="G88" s="3"/>
      <c r="H88" s="3"/>
      <c r="I88" s="3"/>
      <c r="J88" s="3" t="s">
        <v>17</v>
      </c>
      <c r="K88" s="3"/>
      <c r="L88" s="3"/>
      <c r="M88" s="3"/>
      <c r="N88" s="3"/>
      <c r="O88" s="3"/>
      <c r="P88" s="3"/>
      <c r="Q88" s="3"/>
      <c r="R88" s="3"/>
      <c r="S88" s="3" t="s">
        <v>17</v>
      </c>
      <c r="T88" s="3"/>
      <c r="U88" s="3"/>
      <c r="V88" s="3" t="s">
        <v>17</v>
      </c>
      <c r="W88" s="3"/>
      <c r="X88" s="3"/>
      <c r="Y88" s="3" t="s">
        <v>18</v>
      </c>
      <c r="Z88" s="3"/>
      <c r="AA88" s="3"/>
      <c r="AB88" s="3"/>
      <c r="AC88" s="3"/>
      <c r="AD88" s="3"/>
      <c r="AE88" s="3"/>
      <c r="AF88" s="3"/>
      <c r="AG88" s="3"/>
      <c r="AH88" s="3"/>
      <c r="AI88" s="3"/>
      <c r="AJ88" s="3"/>
      <c r="AK88" s="3" t="s">
        <v>18</v>
      </c>
      <c r="AL88" s="3"/>
      <c r="AM88" s="3"/>
      <c r="AN88" s="3"/>
      <c r="AO88" s="3"/>
      <c r="AP88" s="3"/>
      <c r="AQ88" s="3"/>
      <c r="AR88" s="3">
        <f t="shared" si="6"/>
        <v>3</v>
      </c>
      <c r="AS88" s="3">
        <f t="shared" si="7"/>
        <v>2</v>
      </c>
      <c r="AT88" s="3">
        <f t="shared" si="8"/>
        <v>5</v>
      </c>
      <c r="AU88" s="4" t="s">
        <v>380</v>
      </c>
      <c r="AV88" s="6" t="s">
        <v>20</v>
      </c>
      <c r="AW88" s="6" t="s">
        <v>20</v>
      </c>
      <c r="AX88" s="6" t="s">
        <v>21</v>
      </c>
    </row>
    <row r="89" spans="1:50" ht="15" customHeight="1" x14ac:dyDescent="0.2">
      <c r="A89" s="3">
        <v>88</v>
      </c>
      <c r="B89" s="4" t="s">
        <v>337</v>
      </c>
      <c r="C89" s="4" t="s">
        <v>381</v>
      </c>
      <c r="D89" s="4" t="s">
        <v>382</v>
      </c>
      <c r="E89" s="4" t="s">
        <v>383</v>
      </c>
      <c r="F89" s="5">
        <v>2854</v>
      </c>
      <c r="G89" s="3"/>
      <c r="H89" s="3"/>
      <c r="I89" s="3"/>
      <c r="J89" s="3" t="s">
        <v>17</v>
      </c>
      <c r="K89" s="3"/>
      <c r="L89" s="3"/>
      <c r="M89" s="3"/>
      <c r="N89" s="3"/>
      <c r="O89" s="3"/>
      <c r="P89" s="3" t="s">
        <v>18</v>
      </c>
      <c r="Q89" s="3" t="s">
        <v>18</v>
      </c>
      <c r="R89" s="3"/>
      <c r="S89" s="3"/>
      <c r="T89" s="3" t="s">
        <v>18</v>
      </c>
      <c r="U89" s="3" t="s">
        <v>18</v>
      </c>
      <c r="V89" s="3" t="s">
        <v>17</v>
      </c>
      <c r="W89" s="3"/>
      <c r="X89" s="3" t="s">
        <v>18</v>
      </c>
      <c r="Y89" s="3" t="s">
        <v>17</v>
      </c>
      <c r="Z89" s="3"/>
      <c r="AA89" s="3"/>
      <c r="AB89" s="3" t="s">
        <v>18</v>
      </c>
      <c r="AC89" s="3"/>
      <c r="AD89" s="3"/>
      <c r="AE89" s="3"/>
      <c r="AF89" s="3" t="s">
        <v>17</v>
      </c>
      <c r="AG89" s="3"/>
      <c r="AH89" s="3"/>
      <c r="AI89" s="3"/>
      <c r="AJ89" s="3" t="s">
        <v>17</v>
      </c>
      <c r="AK89" s="3" t="s">
        <v>17</v>
      </c>
      <c r="AL89" s="3" t="s">
        <v>18</v>
      </c>
      <c r="AM89" s="3" t="s">
        <v>18</v>
      </c>
      <c r="AN89" s="3" t="s">
        <v>18</v>
      </c>
      <c r="AO89" s="3" t="s">
        <v>18</v>
      </c>
      <c r="AP89" s="3" t="s">
        <v>17</v>
      </c>
      <c r="AQ89" s="3"/>
      <c r="AR89" s="3">
        <f t="shared" si="6"/>
        <v>7</v>
      </c>
      <c r="AS89" s="3">
        <f t="shared" si="7"/>
        <v>10</v>
      </c>
      <c r="AT89" s="3">
        <f t="shared" si="8"/>
        <v>17</v>
      </c>
      <c r="AU89" s="4" t="s">
        <v>384</v>
      </c>
      <c r="AV89" s="6" t="s">
        <v>20</v>
      </c>
      <c r="AW89" s="6" t="s">
        <v>20</v>
      </c>
      <c r="AX89" s="6" t="s">
        <v>21</v>
      </c>
    </row>
    <row r="90" spans="1:50" ht="15" customHeight="1" x14ac:dyDescent="0.2">
      <c r="A90" s="3">
        <v>89</v>
      </c>
      <c r="B90" s="4" t="s">
        <v>337</v>
      </c>
      <c r="C90" s="4" t="s">
        <v>385</v>
      </c>
      <c r="D90" s="4" t="s">
        <v>359</v>
      </c>
      <c r="E90" s="4" t="s">
        <v>386</v>
      </c>
      <c r="F90" s="5">
        <v>47</v>
      </c>
      <c r="G90" s="3"/>
      <c r="H90" s="3"/>
      <c r="I90" s="3"/>
      <c r="J90" s="3"/>
      <c r="K90" s="3"/>
      <c r="L90" s="3"/>
      <c r="M90" s="3"/>
      <c r="N90" s="3" t="s">
        <v>17</v>
      </c>
      <c r="O90" s="3"/>
      <c r="P90" s="3"/>
      <c r="Q90" s="3" t="s">
        <v>17</v>
      </c>
      <c r="R90" s="3"/>
      <c r="S90" s="3"/>
      <c r="T90" s="3"/>
      <c r="U90" s="3"/>
      <c r="V90" s="3"/>
      <c r="W90" s="3" t="s">
        <v>18</v>
      </c>
      <c r="X90" s="3"/>
      <c r="Y90" s="3" t="s">
        <v>18</v>
      </c>
      <c r="Z90" s="3"/>
      <c r="AA90" s="3"/>
      <c r="AB90" s="3"/>
      <c r="AC90" s="3"/>
      <c r="AD90" s="3"/>
      <c r="AE90" s="3"/>
      <c r="AF90" s="3"/>
      <c r="AG90" s="3"/>
      <c r="AH90" s="3"/>
      <c r="AI90" s="3"/>
      <c r="AJ90" s="3"/>
      <c r="AK90" s="3" t="s">
        <v>18</v>
      </c>
      <c r="AL90" s="3"/>
      <c r="AM90" s="3"/>
      <c r="AN90" s="3"/>
      <c r="AO90" s="3"/>
      <c r="AP90" s="3"/>
      <c r="AQ90" s="3"/>
      <c r="AR90" s="3">
        <f t="shared" si="6"/>
        <v>2</v>
      </c>
      <c r="AS90" s="3">
        <f t="shared" si="7"/>
        <v>3</v>
      </c>
      <c r="AT90" s="3">
        <f t="shared" si="8"/>
        <v>5</v>
      </c>
      <c r="AU90" s="4" t="s">
        <v>387</v>
      </c>
      <c r="AV90" s="6" t="s">
        <v>20</v>
      </c>
      <c r="AW90" s="6" t="s">
        <v>20</v>
      </c>
      <c r="AX90" s="6" t="s">
        <v>21</v>
      </c>
    </row>
    <row r="91" spans="1:50" ht="15" customHeight="1" x14ac:dyDescent="0.2">
      <c r="A91" s="3">
        <v>90</v>
      </c>
      <c r="B91" s="4" t="s">
        <v>337</v>
      </c>
      <c r="C91" s="4" t="s">
        <v>388</v>
      </c>
      <c r="D91" s="4" t="s">
        <v>389</v>
      </c>
      <c r="E91" s="4" t="s">
        <v>390</v>
      </c>
      <c r="F91" s="5">
        <v>518</v>
      </c>
      <c r="G91" s="3"/>
      <c r="H91" s="3"/>
      <c r="I91" s="3"/>
      <c r="J91" s="3"/>
      <c r="K91" s="3"/>
      <c r="L91" s="3"/>
      <c r="M91" s="3"/>
      <c r="N91" s="3" t="s">
        <v>17</v>
      </c>
      <c r="O91" s="3"/>
      <c r="P91" s="3"/>
      <c r="Q91" s="3" t="s">
        <v>18</v>
      </c>
      <c r="R91" s="3"/>
      <c r="S91" s="3"/>
      <c r="T91" s="3"/>
      <c r="U91" s="3"/>
      <c r="V91" s="3"/>
      <c r="W91" s="3"/>
      <c r="X91" s="3"/>
      <c r="Y91" s="3"/>
      <c r="Z91" s="3"/>
      <c r="AA91" s="3"/>
      <c r="AB91" s="3"/>
      <c r="AC91" s="3"/>
      <c r="AD91" s="3" t="s">
        <v>18</v>
      </c>
      <c r="AE91" s="3" t="s">
        <v>18</v>
      </c>
      <c r="AF91" s="3" t="s">
        <v>17</v>
      </c>
      <c r="AG91" s="3" t="s">
        <v>17</v>
      </c>
      <c r="AH91" s="3"/>
      <c r="AI91" s="3"/>
      <c r="AJ91" s="3" t="s">
        <v>18</v>
      </c>
      <c r="AK91" s="3" t="s">
        <v>18</v>
      </c>
      <c r="AL91" s="3"/>
      <c r="AM91" s="3"/>
      <c r="AN91" s="3"/>
      <c r="AO91" s="3"/>
      <c r="AP91" s="3" t="s">
        <v>18</v>
      </c>
      <c r="AQ91" s="3"/>
      <c r="AR91" s="3">
        <f t="shared" si="6"/>
        <v>3</v>
      </c>
      <c r="AS91" s="3">
        <f t="shared" si="7"/>
        <v>6</v>
      </c>
      <c r="AT91" s="3">
        <f t="shared" si="8"/>
        <v>9</v>
      </c>
      <c r="AU91" s="4" t="s">
        <v>391</v>
      </c>
      <c r="AV91" s="6" t="s">
        <v>20</v>
      </c>
      <c r="AW91" s="6" t="s">
        <v>20</v>
      </c>
      <c r="AX91" s="6" t="s">
        <v>21</v>
      </c>
    </row>
    <row r="92" spans="1:50" ht="15" customHeight="1" x14ac:dyDescent="0.2">
      <c r="A92" s="3">
        <v>91</v>
      </c>
      <c r="B92" s="4" t="s">
        <v>337</v>
      </c>
      <c r="C92" s="4" t="s">
        <v>392</v>
      </c>
      <c r="D92" s="4" t="s">
        <v>393</v>
      </c>
      <c r="E92" s="4" t="s">
        <v>394</v>
      </c>
      <c r="F92" s="5">
        <v>750</v>
      </c>
      <c r="G92" s="3" t="s">
        <v>18</v>
      </c>
      <c r="H92" s="3"/>
      <c r="I92" s="3"/>
      <c r="J92" s="3" t="s">
        <v>17</v>
      </c>
      <c r="K92" s="3"/>
      <c r="L92" s="3" t="s">
        <v>18</v>
      </c>
      <c r="M92" s="3"/>
      <c r="N92" s="3" t="s">
        <v>17</v>
      </c>
      <c r="O92" s="3"/>
      <c r="P92" s="3" t="s">
        <v>18</v>
      </c>
      <c r="Q92" s="3" t="s">
        <v>17</v>
      </c>
      <c r="R92" s="3"/>
      <c r="S92" s="3"/>
      <c r="T92" s="3"/>
      <c r="U92" s="3"/>
      <c r="V92" s="3"/>
      <c r="W92" s="3"/>
      <c r="X92" s="3" t="s">
        <v>17</v>
      </c>
      <c r="Y92" s="3" t="s">
        <v>17</v>
      </c>
      <c r="Z92" s="3" t="s">
        <v>18</v>
      </c>
      <c r="AA92" s="3" t="s">
        <v>18</v>
      </c>
      <c r="AB92" s="3"/>
      <c r="AC92" s="3"/>
      <c r="AD92" s="3" t="s">
        <v>18</v>
      </c>
      <c r="AE92" s="3" t="s">
        <v>18</v>
      </c>
      <c r="AF92" s="3" t="s">
        <v>18</v>
      </c>
      <c r="AG92" s="3" t="s">
        <v>18</v>
      </c>
      <c r="AH92" s="3" t="s">
        <v>18</v>
      </c>
      <c r="AI92" s="3"/>
      <c r="AJ92" s="3"/>
      <c r="AK92" s="3"/>
      <c r="AL92" s="3" t="s">
        <v>18</v>
      </c>
      <c r="AM92" s="3"/>
      <c r="AN92" s="3"/>
      <c r="AO92" s="3" t="s">
        <v>18</v>
      </c>
      <c r="AP92" s="3" t="s">
        <v>17</v>
      </c>
      <c r="AQ92" s="3"/>
      <c r="AR92" s="3">
        <f t="shared" si="6"/>
        <v>6</v>
      </c>
      <c r="AS92" s="3">
        <f t="shared" si="7"/>
        <v>12</v>
      </c>
      <c r="AT92" s="3">
        <f t="shared" si="8"/>
        <v>18</v>
      </c>
      <c r="AU92" s="4" t="s">
        <v>395</v>
      </c>
      <c r="AV92" s="6" t="s">
        <v>396</v>
      </c>
      <c r="AW92" s="6" t="s">
        <v>397</v>
      </c>
      <c r="AX92" s="6" t="s">
        <v>37</v>
      </c>
    </row>
    <row r="93" spans="1:50" ht="15" customHeight="1" x14ac:dyDescent="0.2">
      <c r="A93" s="3">
        <v>92</v>
      </c>
      <c r="B93" s="4" t="s">
        <v>337</v>
      </c>
      <c r="C93" s="4" t="s">
        <v>398</v>
      </c>
      <c r="D93" s="4" t="s">
        <v>399</v>
      </c>
      <c r="E93" s="4" t="s">
        <v>400</v>
      </c>
      <c r="F93" s="5">
        <v>3</v>
      </c>
      <c r="G93" s="3"/>
      <c r="H93" s="3"/>
      <c r="I93" s="3"/>
      <c r="J93" s="3"/>
      <c r="K93" s="3"/>
      <c r="L93" s="3"/>
      <c r="M93" s="3"/>
      <c r="N93" s="3" t="s">
        <v>18</v>
      </c>
      <c r="O93" s="3"/>
      <c r="P93" s="3" t="s">
        <v>18</v>
      </c>
      <c r="Q93" s="3" t="s">
        <v>18</v>
      </c>
      <c r="R93" s="3" t="s">
        <v>18</v>
      </c>
      <c r="S93" s="3"/>
      <c r="T93" s="3"/>
      <c r="U93" s="3"/>
      <c r="V93" s="3"/>
      <c r="W93" s="3"/>
      <c r="X93" s="3" t="s">
        <v>18</v>
      </c>
      <c r="Y93" s="3" t="s">
        <v>18</v>
      </c>
      <c r="Z93" s="3"/>
      <c r="AA93" s="3"/>
      <c r="AB93" s="3"/>
      <c r="AC93" s="3" t="s">
        <v>18</v>
      </c>
      <c r="AD93" s="3" t="s">
        <v>18</v>
      </c>
      <c r="AE93" s="3"/>
      <c r="AF93" s="3" t="s">
        <v>17</v>
      </c>
      <c r="AG93" s="3" t="s">
        <v>18</v>
      </c>
      <c r="AH93" s="3"/>
      <c r="AI93" s="3" t="s">
        <v>17</v>
      </c>
      <c r="AJ93" s="3"/>
      <c r="AK93" s="3" t="s">
        <v>18</v>
      </c>
      <c r="AL93" s="3"/>
      <c r="AM93" s="3"/>
      <c r="AN93" s="3"/>
      <c r="AO93" s="3"/>
      <c r="AP93" s="3"/>
      <c r="AQ93" s="3"/>
      <c r="AR93" s="3">
        <f t="shared" si="6"/>
        <v>2</v>
      </c>
      <c r="AS93" s="3">
        <f t="shared" si="7"/>
        <v>10</v>
      </c>
      <c r="AT93" s="3">
        <f t="shared" si="8"/>
        <v>12</v>
      </c>
      <c r="AU93" s="4" t="s">
        <v>401</v>
      </c>
      <c r="AV93" s="6" t="s">
        <v>20</v>
      </c>
      <c r="AW93" s="6" t="s">
        <v>20</v>
      </c>
      <c r="AX93" s="6" t="s">
        <v>21</v>
      </c>
    </row>
    <row r="94" spans="1:50" ht="15" customHeight="1" x14ac:dyDescent="0.2">
      <c r="A94" s="3">
        <v>93</v>
      </c>
      <c r="B94" s="4" t="s">
        <v>337</v>
      </c>
      <c r="C94" s="4" t="s">
        <v>402</v>
      </c>
      <c r="D94" s="4" t="s">
        <v>403</v>
      </c>
      <c r="E94" s="4" t="s">
        <v>404</v>
      </c>
      <c r="F94" s="5">
        <v>831</v>
      </c>
      <c r="G94" s="3"/>
      <c r="H94" s="3"/>
      <c r="I94" s="3"/>
      <c r="J94" s="3"/>
      <c r="K94" s="3"/>
      <c r="L94" s="3"/>
      <c r="M94" s="3"/>
      <c r="N94" s="3" t="s">
        <v>17</v>
      </c>
      <c r="O94" s="3"/>
      <c r="P94" s="3"/>
      <c r="Q94" s="3"/>
      <c r="R94" s="3"/>
      <c r="S94" s="3"/>
      <c r="T94" s="3"/>
      <c r="U94" s="3"/>
      <c r="V94" s="3" t="s">
        <v>17</v>
      </c>
      <c r="W94" s="3"/>
      <c r="X94" s="3" t="s">
        <v>18</v>
      </c>
      <c r="Y94" s="3" t="s">
        <v>17</v>
      </c>
      <c r="Z94" s="3"/>
      <c r="AA94" s="3"/>
      <c r="AB94" s="3"/>
      <c r="AC94" s="3"/>
      <c r="AD94" s="3"/>
      <c r="AE94" s="3"/>
      <c r="AF94" s="3" t="s">
        <v>17</v>
      </c>
      <c r="AG94" s="3"/>
      <c r="AH94" s="3"/>
      <c r="AI94" s="3"/>
      <c r="AJ94" s="3" t="s">
        <v>18</v>
      </c>
      <c r="AK94" s="3" t="s">
        <v>18</v>
      </c>
      <c r="AL94" s="3"/>
      <c r="AM94" s="3"/>
      <c r="AN94" s="3"/>
      <c r="AO94" s="3"/>
      <c r="AP94" s="3"/>
      <c r="AQ94" s="3"/>
      <c r="AR94" s="3">
        <f t="shared" si="6"/>
        <v>4</v>
      </c>
      <c r="AS94" s="3">
        <f t="shared" si="7"/>
        <v>3</v>
      </c>
      <c r="AT94" s="3">
        <f t="shared" si="8"/>
        <v>7</v>
      </c>
      <c r="AU94" s="4" t="s">
        <v>405</v>
      </c>
      <c r="AV94" s="6" t="s">
        <v>20</v>
      </c>
      <c r="AW94" s="6" t="s">
        <v>20</v>
      </c>
      <c r="AX94" s="6" t="s">
        <v>21</v>
      </c>
    </row>
    <row r="95" spans="1:50" ht="15" customHeight="1" x14ac:dyDescent="0.2">
      <c r="A95" s="3">
        <v>94</v>
      </c>
      <c r="B95" s="4" t="s">
        <v>337</v>
      </c>
      <c r="C95" s="4" t="s">
        <v>406</v>
      </c>
      <c r="D95" s="4" t="s">
        <v>407</v>
      </c>
      <c r="E95" s="4" t="s">
        <v>408</v>
      </c>
      <c r="F95" s="5">
        <v>439</v>
      </c>
      <c r="G95" s="3"/>
      <c r="H95" s="3"/>
      <c r="I95" s="3"/>
      <c r="J95" s="3"/>
      <c r="K95" s="3"/>
      <c r="L95" s="3"/>
      <c r="M95" s="3" t="s">
        <v>18</v>
      </c>
      <c r="N95" s="3" t="s">
        <v>17</v>
      </c>
      <c r="O95" s="3" t="s">
        <v>18</v>
      </c>
      <c r="P95" s="3" t="s">
        <v>17</v>
      </c>
      <c r="Q95" s="3" t="s">
        <v>17</v>
      </c>
      <c r="R95" s="3" t="s">
        <v>18</v>
      </c>
      <c r="S95" s="3"/>
      <c r="T95" s="3"/>
      <c r="U95" s="3"/>
      <c r="V95" s="3" t="s">
        <v>18</v>
      </c>
      <c r="W95" s="3"/>
      <c r="X95" s="3"/>
      <c r="Y95" s="3" t="s">
        <v>17</v>
      </c>
      <c r="Z95" s="3" t="s">
        <v>18</v>
      </c>
      <c r="AA95" s="3" t="s">
        <v>18</v>
      </c>
      <c r="AB95" s="3"/>
      <c r="AC95" s="3"/>
      <c r="AD95" s="3" t="s">
        <v>18</v>
      </c>
      <c r="AE95" s="3"/>
      <c r="AF95" s="3" t="s">
        <v>17</v>
      </c>
      <c r="AG95" s="3"/>
      <c r="AH95" s="3"/>
      <c r="AI95" s="3" t="s">
        <v>18</v>
      </c>
      <c r="AJ95" s="3"/>
      <c r="AK95" s="3" t="s">
        <v>17</v>
      </c>
      <c r="AL95" s="3"/>
      <c r="AM95" s="3"/>
      <c r="AN95" s="3"/>
      <c r="AO95" s="3"/>
      <c r="AP95" s="3"/>
      <c r="AQ95" s="3"/>
      <c r="AR95" s="3">
        <f t="shared" si="6"/>
        <v>6</v>
      </c>
      <c r="AS95" s="3">
        <f t="shared" si="7"/>
        <v>8</v>
      </c>
      <c r="AT95" s="3">
        <f t="shared" si="8"/>
        <v>14</v>
      </c>
      <c r="AU95" s="4" t="s">
        <v>409</v>
      </c>
      <c r="AV95" s="6" t="s">
        <v>20</v>
      </c>
      <c r="AW95" s="6" t="s">
        <v>20</v>
      </c>
      <c r="AX95" s="6" t="s">
        <v>21</v>
      </c>
    </row>
    <row r="96" spans="1:50" ht="15" customHeight="1" x14ac:dyDescent="0.2">
      <c r="A96" s="3">
        <v>95</v>
      </c>
      <c r="B96" s="4" t="s">
        <v>337</v>
      </c>
      <c r="C96" s="4" t="s">
        <v>410</v>
      </c>
      <c r="D96" s="4" t="s">
        <v>218</v>
      </c>
      <c r="E96" s="4" t="s">
        <v>411</v>
      </c>
      <c r="F96" s="5">
        <v>532</v>
      </c>
      <c r="G96" s="3"/>
      <c r="H96" s="3"/>
      <c r="I96" s="3"/>
      <c r="J96" s="3"/>
      <c r="K96" s="3"/>
      <c r="L96" s="3"/>
      <c r="M96" s="3"/>
      <c r="N96" s="3"/>
      <c r="O96" s="3" t="s">
        <v>18</v>
      </c>
      <c r="P96" s="3"/>
      <c r="Q96" s="3"/>
      <c r="R96" s="3"/>
      <c r="S96" s="3"/>
      <c r="T96" s="3"/>
      <c r="U96" s="3"/>
      <c r="V96" s="3" t="s">
        <v>17</v>
      </c>
      <c r="W96" s="3"/>
      <c r="X96" s="3" t="s">
        <v>18</v>
      </c>
      <c r="Y96" s="3" t="s">
        <v>17</v>
      </c>
      <c r="Z96" s="3"/>
      <c r="AA96" s="3"/>
      <c r="AB96" s="3"/>
      <c r="AC96" s="3"/>
      <c r="AD96" s="3" t="s">
        <v>18</v>
      </c>
      <c r="AE96" s="3" t="s">
        <v>18</v>
      </c>
      <c r="AF96" s="3" t="s">
        <v>17</v>
      </c>
      <c r="AG96" s="3" t="s">
        <v>18</v>
      </c>
      <c r="AH96" s="3" t="s">
        <v>18</v>
      </c>
      <c r="AI96" s="3" t="s">
        <v>18</v>
      </c>
      <c r="AJ96" s="3" t="s">
        <v>18</v>
      </c>
      <c r="AK96" s="3"/>
      <c r="AL96" s="3" t="s">
        <v>18</v>
      </c>
      <c r="AM96" s="3"/>
      <c r="AN96" s="3"/>
      <c r="AO96" s="3"/>
      <c r="AP96" s="3"/>
      <c r="AQ96" s="3"/>
      <c r="AR96" s="3">
        <f t="shared" si="6"/>
        <v>3</v>
      </c>
      <c r="AS96" s="3">
        <f t="shared" si="7"/>
        <v>9</v>
      </c>
      <c r="AT96" s="3">
        <f t="shared" si="8"/>
        <v>12</v>
      </c>
      <c r="AU96" s="4" t="s">
        <v>412</v>
      </c>
      <c r="AV96" s="6" t="s">
        <v>20</v>
      </c>
      <c r="AW96" s="6" t="s">
        <v>413</v>
      </c>
      <c r="AX96" s="6" t="s">
        <v>37</v>
      </c>
    </row>
    <row r="97" spans="1:50" ht="15" customHeight="1" x14ac:dyDescent="0.2">
      <c r="A97" s="3">
        <v>96</v>
      </c>
      <c r="B97" s="4" t="s">
        <v>337</v>
      </c>
      <c r="C97" s="4" t="s">
        <v>414</v>
      </c>
      <c r="D97" s="4" t="s">
        <v>415</v>
      </c>
      <c r="E97" s="4" t="s">
        <v>319</v>
      </c>
      <c r="F97" s="5">
        <v>501</v>
      </c>
      <c r="G97" s="3"/>
      <c r="H97" s="3"/>
      <c r="I97" s="3"/>
      <c r="J97" s="3" t="s">
        <v>17</v>
      </c>
      <c r="K97" s="3"/>
      <c r="L97" s="3"/>
      <c r="M97" s="3"/>
      <c r="N97" s="3"/>
      <c r="O97" s="3" t="s">
        <v>17</v>
      </c>
      <c r="P97" s="3"/>
      <c r="Q97" s="3"/>
      <c r="R97" s="3"/>
      <c r="S97" s="3"/>
      <c r="T97" s="3"/>
      <c r="U97" s="3"/>
      <c r="V97" s="3" t="s">
        <v>18</v>
      </c>
      <c r="W97" s="3"/>
      <c r="X97" s="3" t="s">
        <v>18</v>
      </c>
      <c r="Y97" s="3"/>
      <c r="Z97" s="3"/>
      <c r="AA97" s="3"/>
      <c r="AB97" s="3"/>
      <c r="AC97" s="3" t="s">
        <v>18</v>
      </c>
      <c r="AD97" s="3"/>
      <c r="AE97" s="3"/>
      <c r="AF97" s="3" t="s">
        <v>17</v>
      </c>
      <c r="AG97" s="3"/>
      <c r="AH97" s="3"/>
      <c r="AI97" s="3"/>
      <c r="AJ97" s="3"/>
      <c r="AK97" s="3"/>
      <c r="AL97" s="3"/>
      <c r="AM97" s="3"/>
      <c r="AN97" s="3"/>
      <c r="AO97" s="3"/>
      <c r="AP97" s="3" t="s">
        <v>18</v>
      </c>
      <c r="AQ97" s="3"/>
      <c r="AR97" s="3">
        <f t="shared" si="6"/>
        <v>3</v>
      </c>
      <c r="AS97" s="3">
        <f t="shared" si="7"/>
        <v>4</v>
      </c>
      <c r="AT97" s="3">
        <f t="shared" si="8"/>
        <v>7</v>
      </c>
      <c r="AU97" s="4" t="s">
        <v>416</v>
      </c>
      <c r="AV97" s="6" t="s">
        <v>417</v>
      </c>
      <c r="AW97" s="6" t="s">
        <v>418</v>
      </c>
      <c r="AX97" s="6" t="s">
        <v>37</v>
      </c>
    </row>
    <row r="98" spans="1:50" ht="15" customHeight="1" x14ac:dyDescent="0.2">
      <c r="A98" s="3">
        <v>97</v>
      </c>
      <c r="B98" s="4" t="s">
        <v>337</v>
      </c>
      <c r="C98" s="4" t="s">
        <v>419</v>
      </c>
      <c r="D98" s="4" t="s">
        <v>420</v>
      </c>
      <c r="E98" s="4" t="s">
        <v>421</v>
      </c>
      <c r="F98" s="5">
        <v>159</v>
      </c>
      <c r="G98" s="3" t="s">
        <v>18</v>
      </c>
      <c r="H98" s="3" t="s">
        <v>18</v>
      </c>
      <c r="I98" s="3" t="s">
        <v>18</v>
      </c>
      <c r="J98" s="3" t="s">
        <v>18</v>
      </c>
      <c r="K98" s="3"/>
      <c r="L98" s="3"/>
      <c r="M98" s="3"/>
      <c r="N98" s="3" t="s">
        <v>17</v>
      </c>
      <c r="O98" s="3" t="s">
        <v>18</v>
      </c>
      <c r="P98" s="3"/>
      <c r="Q98" s="3" t="s">
        <v>17</v>
      </c>
      <c r="R98" s="3"/>
      <c r="S98" s="3"/>
      <c r="T98" s="3"/>
      <c r="U98" s="3"/>
      <c r="V98" s="3" t="s">
        <v>17</v>
      </c>
      <c r="W98" s="3"/>
      <c r="X98" s="3"/>
      <c r="Y98" s="3" t="s">
        <v>17</v>
      </c>
      <c r="Z98" s="3" t="s">
        <v>18</v>
      </c>
      <c r="AA98" s="3"/>
      <c r="AB98" s="3" t="s">
        <v>18</v>
      </c>
      <c r="AC98" s="3"/>
      <c r="AD98" s="3" t="s">
        <v>17</v>
      </c>
      <c r="AE98" s="3"/>
      <c r="AF98" s="3" t="s">
        <v>17</v>
      </c>
      <c r="AG98" s="3"/>
      <c r="AH98" s="3"/>
      <c r="AI98" s="3"/>
      <c r="AJ98" s="3"/>
      <c r="AK98" s="3" t="s">
        <v>17</v>
      </c>
      <c r="AL98" s="3"/>
      <c r="AM98" s="3"/>
      <c r="AN98" s="3"/>
      <c r="AO98" s="3"/>
      <c r="AP98" s="3" t="s">
        <v>18</v>
      </c>
      <c r="AQ98" s="3"/>
      <c r="AR98" s="3">
        <f t="shared" ref="AR98:AR101" si="9">COUNTIF(G98:AQ98,"S")</f>
        <v>7</v>
      </c>
      <c r="AS98" s="3">
        <f t="shared" si="7"/>
        <v>8</v>
      </c>
      <c r="AT98" s="3">
        <f t="shared" ref="AT98:AT101" si="10">AR98+AS98</f>
        <v>15</v>
      </c>
      <c r="AU98" s="4" t="s">
        <v>422</v>
      </c>
      <c r="AV98" s="6" t="s">
        <v>341</v>
      </c>
      <c r="AW98" s="6" t="s">
        <v>362</v>
      </c>
      <c r="AX98" s="6" t="s">
        <v>37</v>
      </c>
    </row>
    <row r="99" spans="1:50" ht="15" customHeight="1" x14ac:dyDescent="0.2">
      <c r="A99" s="3">
        <v>98</v>
      </c>
      <c r="B99" s="4" t="s">
        <v>337</v>
      </c>
      <c r="C99" s="4" t="s">
        <v>423</v>
      </c>
      <c r="D99" s="4" t="s">
        <v>424</v>
      </c>
      <c r="E99" s="4" t="s">
        <v>425</v>
      </c>
      <c r="F99" s="5">
        <v>33</v>
      </c>
      <c r="G99" s="3"/>
      <c r="H99" s="3"/>
      <c r="I99" s="3"/>
      <c r="J99" s="3"/>
      <c r="K99" s="3"/>
      <c r="L99" s="3"/>
      <c r="M99" s="3"/>
      <c r="N99" s="3" t="s">
        <v>18</v>
      </c>
      <c r="O99" s="3" t="s">
        <v>18</v>
      </c>
      <c r="P99" s="3"/>
      <c r="Q99" s="3" t="s">
        <v>18</v>
      </c>
      <c r="R99" s="3"/>
      <c r="S99" s="3"/>
      <c r="T99" s="3" t="s">
        <v>18</v>
      </c>
      <c r="U99" s="3"/>
      <c r="V99" s="3"/>
      <c r="W99" s="3"/>
      <c r="X99" s="3"/>
      <c r="Y99" s="3" t="s">
        <v>17</v>
      </c>
      <c r="Z99" s="3" t="s">
        <v>18</v>
      </c>
      <c r="AA99" s="3"/>
      <c r="AB99" s="3"/>
      <c r="AC99" s="3"/>
      <c r="AD99" s="3"/>
      <c r="AE99" s="3"/>
      <c r="AF99" s="3" t="s">
        <v>17</v>
      </c>
      <c r="AG99" s="3" t="s">
        <v>18</v>
      </c>
      <c r="AH99" s="3"/>
      <c r="AI99" s="3"/>
      <c r="AJ99" s="3"/>
      <c r="AK99" s="3" t="s">
        <v>17</v>
      </c>
      <c r="AL99" s="3"/>
      <c r="AM99" s="3"/>
      <c r="AN99" s="3"/>
      <c r="AO99" s="3"/>
      <c r="AP99" s="3"/>
      <c r="AQ99" s="3"/>
      <c r="AR99" s="3">
        <f t="shared" si="9"/>
        <v>3</v>
      </c>
      <c r="AS99" s="3">
        <f t="shared" si="7"/>
        <v>6</v>
      </c>
      <c r="AT99" s="3">
        <f t="shared" si="10"/>
        <v>9</v>
      </c>
      <c r="AU99" s="4" t="s">
        <v>426</v>
      </c>
      <c r="AV99" s="6" t="s">
        <v>427</v>
      </c>
      <c r="AW99" s="6" t="s">
        <v>428</v>
      </c>
      <c r="AX99" s="6" t="s">
        <v>37</v>
      </c>
    </row>
    <row r="100" spans="1:50" ht="15" customHeight="1" x14ac:dyDescent="0.2">
      <c r="A100" s="3">
        <v>99</v>
      </c>
      <c r="B100" s="4" t="s">
        <v>337</v>
      </c>
      <c r="C100" s="4" t="s">
        <v>429</v>
      </c>
      <c r="D100" s="4" t="s">
        <v>430</v>
      </c>
      <c r="E100" s="4" t="s">
        <v>431</v>
      </c>
      <c r="F100" s="5">
        <v>32</v>
      </c>
      <c r="G100" s="3"/>
      <c r="H100" s="3"/>
      <c r="I100" s="3"/>
      <c r="J100" s="3"/>
      <c r="K100" s="3"/>
      <c r="L100" s="3"/>
      <c r="M100" s="3"/>
      <c r="N100" s="3" t="s">
        <v>18</v>
      </c>
      <c r="O100" s="3"/>
      <c r="P100" s="3"/>
      <c r="Q100" s="3"/>
      <c r="R100" s="3"/>
      <c r="S100" s="3"/>
      <c r="T100" s="3"/>
      <c r="U100" s="3"/>
      <c r="V100" s="3"/>
      <c r="W100" s="3"/>
      <c r="X100" s="3"/>
      <c r="Y100" s="3" t="s">
        <v>17</v>
      </c>
      <c r="Z100" s="3"/>
      <c r="AA100" s="3"/>
      <c r="AB100" s="3"/>
      <c r="AC100" s="3" t="s">
        <v>18</v>
      </c>
      <c r="AD100" s="3"/>
      <c r="AE100" s="3"/>
      <c r="AF100" s="3" t="s">
        <v>17</v>
      </c>
      <c r="AG100" s="3"/>
      <c r="AH100" s="3"/>
      <c r="AI100" s="3" t="s">
        <v>18</v>
      </c>
      <c r="AJ100" s="3"/>
      <c r="AK100" s="3" t="s">
        <v>17</v>
      </c>
      <c r="AL100" s="3"/>
      <c r="AM100" s="3" t="s">
        <v>18</v>
      </c>
      <c r="AN100" s="3" t="s">
        <v>18</v>
      </c>
      <c r="AO100" s="3"/>
      <c r="AP100" s="3"/>
      <c r="AQ100" s="3"/>
      <c r="AR100" s="3">
        <f t="shared" si="9"/>
        <v>3</v>
      </c>
      <c r="AS100" s="3">
        <f t="shared" si="7"/>
        <v>5</v>
      </c>
      <c r="AT100" s="3">
        <f t="shared" si="10"/>
        <v>8</v>
      </c>
      <c r="AU100" s="4" t="s">
        <v>432</v>
      </c>
      <c r="AV100" s="6" t="s">
        <v>20</v>
      </c>
      <c r="AW100" s="6" t="s">
        <v>20</v>
      </c>
      <c r="AX100" s="6" t="s">
        <v>21</v>
      </c>
    </row>
    <row r="101" spans="1:50" ht="15" customHeight="1" x14ac:dyDescent="0.2">
      <c r="A101" s="3">
        <v>100</v>
      </c>
      <c r="B101" s="4" t="s">
        <v>337</v>
      </c>
      <c r="C101" s="4" t="s">
        <v>433</v>
      </c>
      <c r="D101" s="4" t="s">
        <v>430</v>
      </c>
      <c r="E101" s="4" t="s">
        <v>434</v>
      </c>
      <c r="F101" s="5">
        <v>349</v>
      </c>
      <c r="G101" s="3"/>
      <c r="H101" s="3"/>
      <c r="I101" s="3"/>
      <c r="J101" s="3"/>
      <c r="K101" s="3"/>
      <c r="L101" s="3"/>
      <c r="M101" s="3"/>
      <c r="N101" s="3" t="s">
        <v>18</v>
      </c>
      <c r="O101" s="3"/>
      <c r="P101" s="3"/>
      <c r="Q101" s="3"/>
      <c r="R101" s="3"/>
      <c r="S101" s="3"/>
      <c r="T101" s="3"/>
      <c r="U101" s="3"/>
      <c r="V101" s="3" t="s">
        <v>18</v>
      </c>
      <c r="W101" s="3"/>
      <c r="X101" s="3"/>
      <c r="Y101" s="3" t="s">
        <v>18</v>
      </c>
      <c r="Z101" s="3"/>
      <c r="AA101" s="3"/>
      <c r="AB101" s="3"/>
      <c r="AC101" s="3"/>
      <c r="AD101" s="3"/>
      <c r="AE101" s="3"/>
      <c r="AF101" s="3" t="s">
        <v>18</v>
      </c>
      <c r="AG101" s="3" t="s">
        <v>18</v>
      </c>
      <c r="AH101" s="3"/>
      <c r="AI101" s="3"/>
      <c r="AJ101" s="3"/>
      <c r="AK101" s="3" t="s">
        <v>17</v>
      </c>
      <c r="AL101" s="3"/>
      <c r="AM101" s="3"/>
      <c r="AN101" s="3"/>
      <c r="AO101" s="3"/>
      <c r="AP101" s="3"/>
      <c r="AQ101" s="3"/>
      <c r="AR101" s="3">
        <f t="shared" si="9"/>
        <v>1</v>
      </c>
      <c r="AS101" s="3">
        <f t="shared" si="7"/>
        <v>5</v>
      </c>
      <c r="AT101" s="3">
        <f t="shared" si="10"/>
        <v>6</v>
      </c>
      <c r="AU101" s="4" t="s">
        <v>435</v>
      </c>
      <c r="AV101" s="6" t="s">
        <v>20</v>
      </c>
      <c r="AW101" s="6" t="s">
        <v>20</v>
      </c>
      <c r="AX101" s="6" t="s">
        <v>21</v>
      </c>
    </row>
    <row r="103" spans="1:50" ht="15" customHeight="1" x14ac:dyDescent="0.2">
      <c r="C103" s="7" t="s">
        <v>436</v>
      </c>
      <c r="D103" s="7"/>
      <c r="E103" s="7"/>
      <c r="F103" s="7"/>
      <c r="G103" s="8">
        <f t="shared" ref="G103:AQ103" si="11">COUNTIF(G2:G101,"S")</f>
        <v>0</v>
      </c>
      <c r="H103" s="8">
        <f t="shared" si="11"/>
        <v>0</v>
      </c>
      <c r="I103" s="8">
        <f t="shared" si="11"/>
        <v>0</v>
      </c>
      <c r="J103" s="8">
        <f t="shared" si="11"/>
        <v>14</v>
      </c>
      <c r="K103" s="8">
        <f t="shared" si="11"/>
        <v>1</v>
      </c>
      <c r="L103" s="8">
        <f t="shared" si="11"/>
        <v>0</v>
      </c>
      <c r="M103" s="8">
        <f t="shared" si="11"/>
        <v>0</v>
      </c>
      <c r="N103" s="8">
        <f t="shared" si="11"/>
        <v>19</v>
      </c>
      <c r="O103" s="8">
        <f t="shared" si="11"/>
        <v>3</v>
      </c>
      <c r="P103" s="8">
        <f t="shared" si="11"/>
        <v>1</v>
      </c>
      <c r="Q103" s="8">
        <f t="shared" si="11"/>
        <v>4</v>
      </c>
      <c r="R103" s="8">
        <f t="shared" si="11"/>
        <v>5</v>
      </c>
      <c r="S103" s="8">
        <f t="shared" si="11"/>
        <v>1</v>
      </c>
      <c r="T103" s="8">
        <f t="shared" si="11"/>
        <v>1</v>
      </c>
      <c r="U103" s="8">
        <f t="shared" si="11"/>
        <v>4</v>
      </c>
      <c r="V103" s="8">
        <f t="shared" si="11"/>
        <v>9</v>
      </c>
      <c r="W103" s="8">
        <f t="shared" si="11"/>
        <v>5</v>
      </c>
      <c r="X103" s="8">
        <f t="shared" si="11"/>
        <v>2</v>
      </c>
      <c r="Y103" s="8">
        <f t="shared" si="11"/>
        <v>57</v>
      </c>
      <c r="Z103" s="8">
        <f t="shared" si="11"/>
        <v>0</v>
      </c>
      <c r="AA103" s="8">
        <f t="shared" si="11"/>
        <v>5</v>
      </c>
      <c r="AB103" s="8">
        <f t="shared" si="11"/>
        <v>1</v>
      </c>
      <c r="AC103" s="8">
        <f t="shared" si="11"/>
        <v>14</v>
      </c>
      <c r="AD103" s="8">
        <f t="shared" si="11"/>
        <v>5</v>
      </c>
      <c r="AE103" s="8">
        <f t="shared" si="11"/>
        <v>5</v>
      </c>
      <c r="AF103" s="8">
        <f t="shared" si="11"/>
        <v>21</v>
      </c>
      <c r="AG103" s="8">
        <f t="shared" si="11"/>
        <v>2</v>
      </c>
      <c r="AH103" s="8">
        <f t="shared" si="11"/>
        <v>5</v>
      </c>
      <c r="AI103" s="8">
        <f t="shared" si="11"/>
        <v>3</v>
      </c>
      <c r="AJ103" s="8">
        <f t="shared" si="11"/>
        <v>4</v>
      </c>
      <c r="AK103" s="8">
        <f t="shared" si="11"/>
        <v>37</v>
      </c>
      <c r="AL103" s="8">
        <f t="shared" si="11"/>
        <v>3</v>
      </c>
      <c r="AM103" s="8">
        <f t="shared" si="11"/>
        <v>1</v>
      </c>
      <c r="AN103" s="8">
        <f t="shared" si="11"/>
        <v>3</v>
      </c>
      <c r="AO103" s="8">
        <f t="shared" si="11"/>
        <v>5</v>
      </c>
      <c r="AP103" s="8">
        <f t="shared" si="11"/>
        <v>16</v>
      </c>
      <c r="AQ103" s="8">
        <f t="shared" si="11"/>
        <v>43</v>
      </c>
      <c r="AR103" s="8">
        <f>SUM(AR2:AR101)</f>
        <v>299</v>
      </c>
      <c r="AS103" s="8"/>
      <c r="AT103" s="8"/>
    </row>
    <row r="104" spans="1:50" ht="15" customHeight="1" x14ac:dyDescent="0.2">
      <c r="C104" s="7" t="s">
        <v>437</v>
      </c>
      <c r="D104" s="7"/>
      <c r="E104" s="7"/>
      <c r="F104" s="7"/>
      <c r="G104" s="8">
        <f t="shared" ref="G104:AQ104" si="12">COUNTIF(G2:G101,"M")</f>
        <v>5</v>
      </c>
      <c r="H104" s="8">
        <f t="shared" si="12"/>
        <v>2</v>
      </c>
      <c r="I104" s="8">
        <f t="shared" si="12"/>
        <v>1</v>
      </c>
      <c r="J104" s="8">
        <f t="shared" si="12"/>
        <v>8</v>
      </c>
      <c r="K104" s="8">
        <f t="shared" si="12"/>
        <v>1</v>
      </c>
      <c r="L104" s="8">
        <f t="shared" si="12"/>
        <v>1</v>
      </c>
      <c r="M104" s="8">
        <f t="shared" si="12"/>
        <v>4</v>
      </c>
      <c r="N104" s="8">
        <f t="shared" si="12"/>
        <v>7</v>
      </c>
      <c r="O104" s="8">
        <f t="shared" si="12"/>
        <v>8</v>
      </c>
      <c r="P104" s="8">
        <f t="shared" si="12"/>
        <v>3</v>
      </c>
      <c r="Q104" s="8">
        <f t="shared" si="12"/>
        <v>7</v>
      </c>
      <c r="R104" s="8">
        <f t="shared" si="12"/>
        <v>3</v>
      </c>
      <c r="S104" s="8">
        <f t="shared" si="12"/>
        <v>6</v>
      </c>
      <c r="T104" s="8">
        <f t="shared" si="12"/>
        <v>4</v>
      </c>
      <c r="U104" s="8">
        <f t="shared" si="12"/>
        <v>4</v>
      </c>
      <c r="V104" s="8">
        <f t="shared" si="12"/>
        <v>9</v>
      </c>
      <c r="W104" s="8">
        <f t="shared" si="12"/>
        <v>4</v>
      </c>
      <c r="X104" s="8">
        <f t="shared" si="12"/>
        <v>12</v>
      </c>
      <c r="Y104" s="8">
        <f t="shared" si="12"/>
        <v>16</v>
      </c>
      <c r="Z104" s="8">
        <f t="shared" si="12"/>
        <v>10</v>
      </c>
      <c r="AA104" s="8">
        <f t="shared" si="12"/>
        <v>8</v>
      </c>
      <c r="AB104" s="8">
        <f t="shared" si="12"/>
        <v>11</v>
      </c>
      <c r="AC104" s="8">
        <f t="shared" si="12"/>
        <v>8</v>
      </c>
      <c r="AD104" s="8">
        <f t="shared" si="12"/>
        <v>18</v>
      </c>
      <c r="AE104" s="8">
        <f t="shared" si="12"/>
        <v>14</v>
      </c>
      <c r="AF104" s="8">
        <f t="shared" si="12"/>
        <v>19</v>
      </c>
      <c r="AG104" s="8">
        <f t="shared" si="12"/>
        <v>16</v>
      </c>
      <c r="AH104" s="8">
        <f t="shared" si="12"/>
        <v>11</v>
      </c>
      <c r="AI104" s="8">
        <f t="shared" si="12"/>
        <v>7</v>
      </c>
      <c r="AJ104" s="8">
        <f t="shared" si="12"/>
        <v>10</v>
      </c>
      <c r="AK104" s="8">
        <f t="shared" si="12"/>
        <v>16</v>
      </c>
      <c r="AL104" s="8">
        <f t="shared" si="12"/>
        <v>11</v>
      </c>
      <c r="AM104" s="8">
        <f t="shared" si="12"/>
        <v>6</v>
      </c>
      <c r="AN104" s="8">
        <f t="shared" si="12"/>
        <v>5</v>
      </c>
      <c r="AO104" s="8">
        <f t="shared" si="12"/>
        <v>9</v>
      </c>
      <c r="AP104" s="8">
        <f t="shared" si="12"/>
        <v>14</v>
      </c>
      <c r="AQ104" s="8">
        <f t="shared" si="12"/>
        <v>11</v>
      </c>
      <c r="AR104" s="8"/>
      <c r="AS104" s="8">
        <f>SUM(AS2:AS101)</f>
        <v>309</v>
      </c>
      <c r="AT104" s="8"/>
    </row>
    <row r="105" spans="1:50" ht="15" customHeight="1" x14ac:dyDescent="0.2">
      <c r="C105" s="7" t="s">
        <v>438</v>
      </c>
      <c r="D105" s="7"/>
      <c r="E105" s="7"/>
      <c r="F105" s="7"/>
      <c r="G105" s="8">
        <f t="shared" ref="G105:AQ105" si="13">G103+G104</f>
        <v>5</v>
      </c>
      <c r="H105" s="8">
        <f t="shared" si="13"/>
        <v>2</v>
      </c>
      <c r="I105" s="8">
        <f t="shared" si="13"/>
        <v>1</v>
      </c>
      <c r="J105" s="8">
        <f t="shared" si="13"/>
        <v>22</v>
      </c>
      <c r="K105" s="8">
        <f t="shared" si="13"/>
        <v>2</v>
      </c>
      <c r="L105" s="8">
        <f t="shared" si="13"/>
        <v>1</v>
      </c>
      <c r="M105" s="8">
        <f t="shared" si="13"/>
        <v>4</v>
      </c>
      <c r="N105" s="8">
        <f t="shared" si="13"/>
        <v>26</v>
      </c>
      <c r="O105" s="8">
        <f t="shared" si="13"/>
        <v>11</v>
      </c>
      <c r="P105" s="8">
        <f t="shared" si="13"/>
        <v>4</v>
      </c>
      <c r="Q105" s="8">
        <f t="shared" si="13"/>
        <v>11</v>
      </c>
      <c r="R105" s="8">
        <f t="shared" si="13"/>
        <v>8</v>
      </c>
      <c r="S105" s="8">
        <f t="shared" si="13"/>
        <v>7</v>
      </c>
      <c r="T105" s="8">
        <f t="shared" si="13"/>
        <v>5</v>
      </c>
      <c r="U105" s="8">
        <f t="shared" si="13"/>
        <v>8</v>
      </c>
      <c r="V105" s="8">
        <f t="shared" si="13"/>
        <v>18</v>
      </c>
      <c r="W105" s="8">
        <f t="shared" si="13"/>
        <v>9</v>
      </c>
      <c r="X105" s="8">
        <f t="shared" si="13"/>
        <v>14</v>
      </c>
      <c r="Y105" s="8">
        <f t="shared" si="13"/>
        <v>73</v>
      </c>
      <c r="Z105" s="8">
        <f t="shared" si="13"/>
        <v>10</v>
      </c>
      <c r="AA105" s="8">
        <f t="shared" si="13"/>
        <v>13</v>
      </c>
      <c r="AB105" s="8">
        <f t="shared" si="13"/>
        <v>12</v>
      </c>
      <c r="AC105" s="8">
        <f t="shared" si="13"/>
        <v>22</v>
      </c>
      <c r="AD105" s="8">
        <f t="shared" si="13"/>
        <v>23</v>
      </c>
      <c r="AE105" s="8">
        <f t="shared" si="13"/>
        <v>19</v>
      </c>
      <c r="AF105" s="8">
        <f t="shared" si="13"/>
        <v>40</v>
      </c>
      <c r="AG105" s="8">
        <f t="shared" si="13"/>
        <v>18</v>
      </c>
      <c r="AH105" s="8">
        <f t="shared" si="13"/>
        <v>16</v>
      </c>
      <c r="AI105" s="8">
        <f t="shared" si="13"/>
        <v>10</v>
      </c>
      <c r="AJ105" s="8">
        <f t="shared" si="13"/>
        <v>14</v>
      </c>
      <c r="AK105" s="8">
        <f t="shared" si="13"/>
        <v>53</v>
      </c>
      <c r="AL105" s="8">
        <f t="shared" si="13"/>
        <v>14</v>
      </c>
      <c r="AM105" s="8">
        <f t="shared" si="13"/>
        <v>7</v>
      </c>
      <c r="AN105" s="8">
        <f t="shared" si="13"/>
        <v>8</v>
      </c>
      <c r="AO105" s="8">
        <f t="shared" si="13"/>
        <v>14</v>
      </c>
      <c r="AP105" s="8">
        <f t="shared" si="13"/>
        <v>30</v>
      </c>
      <c r="AQ105" s="8">
        <f t="shared" si="13"/>
        <v>54</v>
      </c>
      <c r="AR105" s="8"/>
      <c r="AS105" s="8"/>
      <c r="AT105" s="8">
        <f>SUM(AT2:AT101)</f>
        <v>608</v>
      </c>
    </row>
  </sheetData>
  <autoFilter ref="A1:AX101" xr:uid="{00000000-0009-0000-0000-000001000000}"/>
  <conditionalFormatting sqref="G2:AQ101">
    <cfRule type="cellIs" dxfId="1" priority="2" operator="equal">
      <formula>"S"</formula>
    </cfRule>
    <cfRule type="cellIs" dxfId="0" priority="3" operator="equal">
      <formula>"M"</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zoomScaleNormal="100" workbookViewId="0">
      <pane ySplit="1" topLeftCell="A2" activePane="bottomLeft" state="frozen"/>
      <selection pane="bottomLeft"/>
    </sheetView>
  </sheetViews>
  <sheetFormatPr baseColWidth="10" defaultColWidth="8.6640625" defaultRowHeight="15" x14ac:dyDescent="0.2"/>
  <cols>
    <col min="1" max="1" width="7" customWidth="1"/>
    <col min="2" max="2" width="70" customWidth="1"/>
    <col min="3" max="3" width="16" customWidth="1"/>
    <col min="4" max="4" width="34" customWidth="1"/>
    <col min="5" max="5" width="80" customWidth="1"/>
    <col min="6" max="6" width="14" customWidth="1"/>
  </cols>
  <sheetData>
    <row r="1" spans="1:6" ht="28" x14ac:dyDescent="0.2">
      <c r="A1" s="9" t="s">
        <v>439</v>
      </c>
      <c r="B1" s="9" t="s">
        <v>440</v>
      </c>
      <c r="C1" s="9" t="s">
        <v>441</v>
      </c>
      <c r="D1" s="9" t="s">
        <v>442</v>
      </c>
      <c r="E1" s="9" t="s">
        <v>443</v>
      </c>
      <c r="F1" s="9" t="s">
        <v>12</v>
      </c>
    </row>
    <row r="2" spans="1:6" ht="28" x14ac:dyDescent="0.2">
      <c r="A2" s="1">
        <v>20</v>
      </c>
      <c r="B2" s="1" t="s">
        <v>444</v>
      </c>
      <c r="C2" s="1" t="s">
        <v>445</v>
      </c>
      <c r="D2" s="1" t="s">
        <v>20</v>
      </c>
      <c r="E2" s="1" t="s">
        <v>446</v>
      </c>
      <c r="F2" s="1" t="s">
        <v>37</v>
      </c>
    </row>
    <row r="3" spans="1:6" ht="28" x14ac:dyDescent="0.2">
      <c r="A3" s="1">
        <v>34</v>
      </c>
      <c r="B3" s="1" t="s">
        <v>447</v>
      </c>
      <c r="C3" s="1" t="s">
        <v>448</v>
      </c>
      <c r="D3" s="1" t="s">
        <v>449</v>
      </c>
      <c r="E3" s="1" t="s">
        <v>450</v>
      </c>
      <c r="F3" s="1" t="s">
        <v>37</v>
      </c>
    </row>
    <row r="4" spans="1:6" ht="28" x14ac:dyDescent="0.2">
      <c r="A4" s="1">
        <v>45</v>
      </c>
      <c r="B4" s="1" t="s">
        <v>451</v>
      </c>
      <c r="C4" s="1" t="s">
        <v>452</v>
      </c>
      <c r="D4" s="1" t="s">
        <v>453</v>
      </c>
      <c r="E4" s="1" t="s">
        <v>454</v>
      </c>
      <c r="F4" s="1" t="s">
        <v>37</v>
      </c>
    </row>
    <row r="5" spans="1:6" ht="42" x14ac:dyDescent="0.2">
      <c r="A5" s="1">
        <v>100</v>
      </c>
      <c r="B5" s="1" t="s">
        <v>455</v>
      </c>
      <c r="C5" s="1" t="s">
        <v>456</v>
      </c>
      <c r="D5" s="1" t="s">
        <v>457</v>
      </c>
      <c r="E5" s="1" t="s">
        <v>458</v>
      </c>
      <c r="F5" s="1" t="s">
        <v>37</v>
      </c>
    </row>
    <row r="6" spans="1:6" ht="28" x14ac:dyDescent="0.2">
      <c r="A6" s="1">
        <v>101</v>
      </c>
      <c r="B6" s="1" t="s">
        <v>459</v>
      </c>
      <c r="C6" s="1" t="s">
        <v>460</v>
      </c>
      <c r="D6" s="1" t="s">
        <v>20</v>
      </c>
      <c r="E6" s="1" t="s">
        <v>461</v>
      </c>
      <c r="F6" s="1" t="s">
        <v>37</v>
      </c>
    </row>
    <row r="7" spans="1:6" ht="28" x14ac:dyDescent="0.2">
      <c r="A7" s="1">
        <v>141</v>
      </c>
      <c r="B7" s="1" t="s">
        <v>462</v>
      </c>
      <c r="C7" s="1" t="s">
        <v>463</v>
      </c>
      <c r="D7" s="1" t="s">
        <v>20</v>
      </c>
      <c r="E7" s="1" t="s">
        <v>464</v>
      </c>
      <c r="F7" s="1" t="s">
        <v>37</v>
      </c>
    </row>
    <row r="8" spans="1:6" ht="42" x14ac:dyDescent="0.2">
      <c r="A8" s="1">
        <v>143</v>
      </c>
      <c r="B8" s="1" t="s">
        <v>465</v>
      </c>
      <c r="C8" s="1" t="s">
        <v>456</v>
      </c>
      <c r="D8" s="1" t="s">
        <v>466</v>
      </c>
      <c r="E8" s="1" t="s">
        <v>467</v>
      </c>
      <c r="F8" s="1" t="s">
        <v>37</v>
      </c>
    </row>
    <row r="9" spans="1:6" ht="42" x14ac:dyDescent="0.2">
      <c r="A9" s="1">
        <v>146</v>
      </c>
      <c r="B9" s="1" t="s">
        <v>468</v>
      </c>
      <c r="C9" s="1" t="s">
        <v>469</v>
      </c>
      <c r="D9" s="1" t="s">
        <v>457</v>
      </c>
      <c r="E9" s="1" t="s">
        <v>470</v>
      </c>
      <c r="F9" s="1" t="s">
        <v>37</v>
      </c>
    </row>
    <row r="10" spans="1:6" ht="42" x14ac:dyDescent="0.2">
      <c r="A10" s="1">
        <v>153</v>
      </c>
      <c r="B10" s="1" t="s">
        <v>471</v>
      </c>
      <c r="C10" s="1" t="s">
        <v>472</v>
      </c>
      <c r="D10" s="1" t="s">
        <v>20</v>
      </c>
      <c r="E10" s="1" t="s">
        <v>473</v>
      </c>
      <c r="F10" s="1" t="s">
        <v>37</v>
      </c>
    </row>
    <row r="11" spans="1:6" ht="28" x14ac:dyDescent="0.2">
      <c r="A11" s="1">
        <v>161</v>
      </c>
      <c r="B11" s="1" t="s">
        <v>474</v>
      </c>
      <c r="C11" s="1" t="s">
        <v>475</v>
      </c>
      <c r="D11" s="1" t="s">
        <v>20</v>
      </c>
      <c r="E11" s="1" t="s">
        <v>476</v>
      </c>
      <c r="F11" s="1" t="s">
        <v>37</v>
      </c>
    </row>
    <row r="12" spans="1:6" ht="42" x14ac:dyDescent="0.2">
      <c r="A12" s="1">
        <v>176</v>
      </c>
      <c r="B12" s="1" t="s">
        <v>477</v>
      </c>
      <c r="C12" s="1" t="s">
        <v>478</v>
      </c>
      <c r="D12" s="1" t="s">
        <v>20</v>
      </c>
      <c r="E12" s="1" t="s">
        <v>479</v>
      </c>
      <c r="F12" s="1" t="s">
        <v>37</v>
      </c>
    </row>
    <row r="13" spans="1:6" ht="42" x14ac:dyDescent="0.2">
      <c r="A13" s="1">
        <v>193</v>
      </c>
      <c r="B13" s="1" t="s">
        <v>480</v>
      </c>
      <c r="C13" s="1" t="s">
        <v>481</v>
      </c>
      <c r="D13" s="1" t="s">
        <v>482</v>
      </c>
      <c r="E13" s="1" t="s">
        <v>483</v>
      </c>
      <c r="F13" s="1" t="s">
        <v>37</v>
      </c>
    </row>
    <row r="14" spans="1:6" ht="70" x14ac:dyDescent="0.2">
      <c r="A14" s="1">
        <v>197</v>
      </c>
      <c r="B14" s="1" t="s">
        <v>484</v>
      </c>
      <c r="C14" s="1" t="s">
        <v>472</v>
      </c>
      <c r="D14" s="1" t="s">
        <v>20</v>
      </c>
      <c r="E14" s="1" t="s">
        <v>485</v>
      </c>
      <c r="F14" s="1" t="s">
        <v>31</v>
      </c>
    </row>
    <row r="15" spans="1:6" ht="56" x14ac:dyDescent="0.2">
      <c r="A15" s="1">
        <v>204</v>
      </c>
      <c r="B15" s="1" t="s">
        <v>486</v>
      </c>
      <c r="C15" s="1" t="s">
        <v>456</v>
      </c>
      <c r="D15" s="1" t="s">
        <v>487</v>
      </c>
      <c r="E15" s="1" t="s">
        <v>488</v>
      </c>
      <c r="F15" s="1" t="s">
        <v>37</v>
      </c>
    </row>
    <row r="16" spans="1:6" ht="56" x14ac:dyDescent="0.2">
      <c r="A16" s="1">
        <v>205</v>
      </c>
      <c r="B16" s="1" t="s">
        <v>489</v>
      </c>
      <c r="C16" s="1" t="s">
        <v>490</v>
      </c>
      <c r="D16" s="1" t="s">
        <v>20</v>
      </c>
      <c r="E16" s="1" t="s">
        <v>491</v>
      </c>
      <c r="F16" s="1" t="s">
        <v>31</v>
      </c>
    </row>
    <row r="17" spans="1:6" ht="42" x14ac:dyDescent="0.2">
      <c r="A17" s="1">
        <v>206</v>
      </c>
      <c r="B17" s="1" t="s">
        <v>492</v>
      </c>
      <c r="C17" s="1" t="s">
        <v>493</v>
      </c>
      <c r="D17" s="1" t="s">
        <v>20</v>
      </c>
      <c r="E17" s="1" t="s">
        <v>494</v>
      </c>
      <c r="F17" s="1" t="s">
        <v>37</v>
      </c>
    </row>
    <row r="18" spans="1:6" ht="42" x14ac:dyDescent="0.2">
      <c r="A18" s="1">
        <v>207</v>
      </c>
      <c r="B18" s="1" t="s">
        <v>495</v>
      </c>
      <c r="C18" s="1" t="s">
        <v>496</v>
      </c>
      <c r="D18" s="1" t="s">
        <v>20</v>
      </c>
      <c r="E18" s="1" t="s">
        <v>497</v>
      </c>
      <c r="F18" s="1" t="s">
        <v>37</v>
      </c>
    </row>
    <row r="19" spans="1:6" ht="56" x14ac:dyDescent="0.2">
      <c r="A19" s="1">
        <v>208</v>
      </c>
      <c r="B19" s="1" t="s">
        <v>498</v>
      </c>
      <c r="C19" s="1" t="s">
        <v>499</v>
      </c>
      <c r="D19" s="1" t="s">
        <v>20</v>
      </c>
      <c r="E19" s="1" t="s">
        <v>500</v>
      </c>
      <c r="F19" s="1" t="s">
        <v>31</v>
      </c>
    </row>
    <row r="20" spans="1:6" ht="42" x14ac:dyDescent="0.2">
      <c r="A20" s="1">
        <v>209</v>
      </c>
      <c r="B20" s="1" t="s">
        <v>501</v>
      </c>
      <c r="C20" s="1" t="s">
        <v>493</v>
      </c>
      <c r="D20" s="1" t="s">
        <v>20</v>
      </c>
      <c r="E20" s="1" t="s">
        <v>502</v>
      </c>
      <c r="F20" s="1" t="s">
        <v>37</v>
      </c>
    </row>
    <row r="21" spans="1:6" ht="28" x14ac:dyDescent="0.2">
      <c r="A21" s="1">
        <v>224</v>
      </c>
      <c r="B21" s="1" t="s">
        <v>503</v>
      </c>
      <c r="C21" s="1" t="s">
        <v>504</v>
      </c>
      <c r="D21" s="1" t="s">
        <v>20</v>
      </c>
      <c r="E21" s="1" t="s">
        <v>505</v>
      </c>
      <c r="F21" s="1" t="s">
        <v>37</v>
      </c>
    </row>
    <row r="22" spans="1:6" ht="42" x14ac:dyDescent="0.2">
      <c r="A22" s="1">
        <v>272</v>
      </c>
      <c r="B22" s="1" t="s">
        <v>506</v>
      </c>
      <c r="C22" s="1" t="s">
        <v>507</v>
      </c>
      <c r="D22" s="1" t="s">
        <v>508</v>
      </c>
      <c r="E22" s="1" t="s">
        <v>509</v>
      </c>
      <c r="F22" s="1" t="s">
        <v>37</v>
      </c>
    </row>
    <row r="23" spans="1:6" ht="42" x14ac:dyDescent="0.2">
      <c r="A23" s="1">
        <v>284</v>
      </c>
      <c r="B23" s="1" t="s">
        <v>510</v>
      </c>
      <c r="C23" s="1" t="s">
        <v>511</v>
      </c>
      <c r="D23" s="1" t="s">
        <v>20</v>
      </c>
      <c r="E23" s="1" t="s">
        <v>512</v>
      </c>
      <c r="F23" s="1" t="s">
        <v>37</v>
      </c>
    </row>
    <row r="24" spans="1:6" ht="42" x14ac:dyDescent="0.2">
      <c r="A24" s="1">
        <v>285</v>
      </c>
      <c r="B24" s="1" t="s">
        <v>513</v>
      </c>
      <c r="C24" s="1" t="s">
        <v>514</v>
      </c>
      <c r="D24" s="1" t="s">
        <v>20</v>
      </c>
      <c r="E24" s="1" t="s">
        <v>515</v>
      </c>
      <c r="F24" s="1" t="s">
        <v>37</v>
      </c>
    </row>
    <row r="25" spans="1:6" ht="42" x14ac:dyDescent="0.2">
      <c r="A25" s="1">
        <v>304</v>
      </c>
      <c r="B25" s="1" t="s">
        <v>516</v>
      </c>
      <c r="C25" s="1" t="s">
        <v>517</v>
      </c>
      <c r="D25" s="1" t="s">
        <v>518</v>
      </c>
      <c r="E25" s="1" t="s">
        <v>519</v>
      </c>
      <c r="F25" s="1" t="s">
        <v>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Bleaching database</vt:lpstr>
      <vt:lpstr>Taxa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Flavia Tripon</cp:lastModifiedBy>
  <cp:revision>0</cp:revision>
  <dcterms:created xsi:type="dcterms:W3CDTF">2026-09-28T02:38:11Z</dcterms:created>
  <dcterms:modified xsi:type="dcterms:W3CDTF">2026-10-03T19:28:01Z</dcterms:modified>
  <dc:language>en-US</dc:language>
</cp:coreProperties>
</file>